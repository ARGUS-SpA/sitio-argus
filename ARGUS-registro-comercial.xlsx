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063de663b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" sheetId="1" r:id="Redd7c409bf2d4730"/>
    <x:sheet xmlns:r="http://schemas.openxmlformats.org/officeDocument/2006/relationships" name="Uso y etapas" sheetId="2" r:id="R77cd50beb2e7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6">
    <x:font>
      <x:sz val="11"/>
      <x:name val="Carlito"/>
    </x:font>
    <x:font>
      <x:sz val="11"/>
      <x:color rgb="FF24332C"/>
      <x:name val="Arial"/>
    </x:font>
    <x:font>
      <x:b/>
      <x:sz val="16"/>
      <x:color rgb="FF24332C"/>
      <x:name val="Arial"/>
    </x:font>
    <x:font>
      <x:i/>
      <x:sz val="11"/>
      <x:color rgb="FF5A655F"/>
      <x:name val="Arial"/>
    </x:font>
    <x:font>
      <x:b/>
      <x:sz val="11"/>
      <x:color rgb="FFFFFFFF"/>
      <x:name val="Arial"/>
    </x:font>
    <x:font>
      <x:b/>
      <x:sz val="11"/>
      <x:color rgb="FF24332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F32"/>
      </x:patternFill>
    </x:fill>
    <x:fill>
      <x:patternFill patternType="solid">
        <x:fgColor rgb="FFFFFCF2"/>
      </x:patternFill>
    </x:fill>
    <x:fill>
      <x:patternFill patternType="solid">
        <x:fgColor rgb="FFEDF2EF"/>
      </x:patternFill>
    </x:fill>
    <x:fill>
      <x:patternFill patternType="solid">
        <x:fgColor rgb="FFE4EC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8C2420"/>
      </x:font>
      <x:fill>
        <x:patternFill patternType="solid">
          <x:bgColor rgb="FFF9D8D4"/>
        </x:patternFill>
      </x:fill>
    </x:dxf>
    <x:dxf>
      <x:font>
        <x:color rgb="FF6C4C12"/>
      </x:font>
      <x:fill>
        <x:patternFill patternType="solid">
          <x:bgColor rgb="FFFFF0C4"/>
        </x:patternFill>
      </x:fill>
    </x:dxf>
    <x:dxf>
      <x:font>
        <x:color rgb="FF6C4C12"/>
      </x:font>
      <x:fill>
        <x:patternFill patternType="solid">
          <x:bgColor rgb="FFFFF0C4"/>
        </x:patternFill>
      </x:fill>
    </x:dxf>
    <x:dxf>
      <x:font>
        <x:color rgb="FF6C4C12"/>
      </x:font>
      <x:fill>
        <x:patternFill patternType="solid">
          <x:bgColor rgb="FFFFF0C4"/>
        </x:patternFill>
      </x:fill>
    </x:dxf>
    <x:dxf>
      <x:font>
        <x:color rgb="FF6C4C12"/>
      </x:font>
      <x:fill>
        <x:patternFill patternType="solid">
          <x:bgColor rgb="FFFFF0C4"/>
        </x:patternFill>
      </x:fill>
    </x:dxf>
    <x:dxf>
      <x:font>
        <x:b/>
        <x:color rgb="FF1E4772"/>
      </x:font>
      <x:fill>
        <x:patternFill patternType="solid">
          <x:bgColor rgb="FFDAE8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424db49714320" /><Relationship Type="http://schemas.openxmlformats.org/officeDocument/2006/relationships/theme" Target="/xl/theme/theme1.xml" Id="R9e0e835d5d134d07" /><Relationship Type="http://schemas.openxmlformats.org/officeDocument/2006/relationships/sharedStrings" Target="/xl/sharedStrings.xml" Id="Rbe4bad8b6d744b93" /><Relationship Type="http://schemas.openxmlformats.org/officeDocument/2006/relationships/worksheet" Target="/xl/worksheets/sheet1.xml" Id="Redd7c409bf2d4730" /><Relationship Type="http://schemas.openxmlformats.org/officeDocument/2006/relationships/worksheet" Target="/xl/worksheets/sheet2.xml" Id="R77cd50beb2e74bd6" /></Relationships>
</file>

<file path=xl/tables/table1.xml><?xml version="1.0" encoding="utf-8"?>
<x:table xmlns:x="http://schemas.openxmlformats.org/spreadsheetml/2006/main" id="1" name="OportunidadesARGUS" displayName="OportunidadesARGUS" ref="A10:Q210" headerRowCount="1" totalsRowCount="0" totalsRowShown="0">
  <x:autoFilter ref="A10:Q210"/>
  <x:tableColumns count="17">
    <x:tableColumn id="1" name="ID"/>
    <x:tableColumn id="2" name="Ingreso"/>
    <x:tableColumn id="3" name="Empresa"/>
    <x:tableColumn id="4" name="Contacto / medio"/>
    <x:tableColumn id="5" name="Canal"/>
    <x:tableColumn id="6" name="Origen"/>
    <x:tableColumn id="7" name="Servicio"/>
    <x:tableColumn id="8" name="Etapa"/>
    <x:tableColumn id="9" name="Responsable"/>
    <x:tableColumn id="10" name="Última gestión"/>
    <x:tableColumn id="11" name="Próxima acción"/>
    <x:tableColumn id="12" name="Fecha próxima"/>
    <x:tableColumn id="13" name="Seguimiento"/>
    <x:tableColumn id="14" name="Fecha contrato"/>
    <x:tableColumn id="15" name="Fecha entrega"/>
    <x:tableColumn id="16" name="Motivo descarte"/>
    <x:tableColumn id="17" name="Notas comerci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80ead943404a3a" /></Relationships>
</file>

<file path=xl/worksheets/sheet1.xml><?xml version="1.0" encoding="utf-8"?>
<x:worksheet xmlns:x="http://schemas.openxmlformats.org/spreadsheetml/2006/main">
  <x:sheetPr>
    <x:tabColor rgb="FF203F32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28" hidden="0" customWidth="1"/>
    <x:col min="2" max="2" width="14" hidden="0" customWidth="1"/>
    <x:col min="3" max="3" width="29" hidden="0" customWidth="1"/>
    <x:col min="4" max="4" width="34" hidden="0" customWidth="1"/>
    <x:col min="5" max="5" width="18" hidden="0" customWidth="1"/>
    <x:col min="6" max="6" width="23" hidden="0" customWidth="1"/>
    <x:col min="7" max="7" width="24" hidden="0" customWidth="1"/>
    <x:col min="8" max="8" width="23" hidden="0" customWidth="1"/>
    <x:col min="9" max="9" width="19" hidden="0" customWidth="1"/>
    <x:col min="10" max="10" width="15" hidden="0" customWidth="1"/>
    <x:col min="11" max="11" width="40" hidden="0" customWidth="1"/>
    <x:col min="12" max="12" width="15" hidden="0" customWidth="1"/>
    <x:col min="13" max="13" width="24" hidden="0" customWidth="1"/>
    <x:col min="14" max="14" width="15" hidden="0" customWidth="1"/>
    <x:col min="15" max="15" width="15" hidden="0" customWidth="1"/>
    <x:col min="16" max="16" width="30" hidden="0" customWidth="1"/>
    <x:col min="17" max="17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Seguimiento comercial ARGUS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Una fila por oportunidad. Completar las celdas claras. La columna M se calcula.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Oportunidades activas</x:v>
      </x:c>
      <x:c r="B5" s="2" t="n">
        <x:f>COUNTIFS($A$11:$A$210,"&lt;&gt;",$H$11:$H$210,"&lt;&gt;Entregado",$H$11:$H$210,"&lt;&gt;Descartado")</x:f>
        <x:v>0</x:v>
      </x:c>
      <x:c r="C5" s="2"/>
      <x:c r="D5" s="2" t="str">
        <x:v>Contratos registrados</x:v>
      </x:c>
      <x:c r="E5" s="2" t="n">
        <x:f>COUNTIFS($A$11:$A$210,"&lt;&gt;",$N$11:$N$210,"&gt;0")</x:f>
        <x:v>0</x:v>
      </x:c>
      <x:c r="F5" s="2"/>
      <x:c r="G5" s="2" t="str">
        <x:v>Revisión de fechas</x:v>
      </x:c>
      <x:c r="H5" s="5" t="n">
        <x:f>TODAY()</x:f>
        <x:v>46316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Gestiones vencidas</x:v>
      </x:c>
      <x:c r="B6" s="2" t="n">
        <x:f>COUNTIFS($M$11:$M$210,"Vencido")</x:f>
        <x:v>0</x:v>
      </x:c>
      <x:c r="C6" s="2"/>
      <x:c r="D6" s="2" t="str">
        <x:v>Entregados</x:v>
      </x:c>
      <x:c r="E6" s="2" t="n">
        <x:f>COUNTIFS($A$11:$A$210,"&lt;&gt;",$H$11:$H$210,"Entregado")</x:f>
        <x:v>0</x:v>
      </x:c>
      <x:c r="F6" s="2"/>
      <x:c r="G6" s="2" t="str">
        <x:v>Los conteos reflejan el registro actual. No son conversiones históricas.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Gestiones para hoy</x:v>
      </x:c>
      <x:c r="B7" s="2" t="n">
        <x:f>COUNTIFS($M$11:$M$210,"Hoy")</x:f>
        <x:v>0</x:v>
      </x:c>
      <x:c r="C7" s="2"/>
      <x:c r="D7" s="2" t="str">
        <x:v>Descartados</x:v>
      </x:c>
      <x:c r="E7" s="2" t="n">
        <x:f>COUNTIFS($A$11:$A$210,"&lt;&gt;",$H$11:$H$210,"Descartado")</x:f>
        <x:v>0</x:v>
      </x:c>
      <x:c r="F7" s="2"/>
      <x:c r="G7" s="2" t="str">
        <x:v>No incluir datos de pacientes. Guardar la copia de trabajo en una carpeta privada.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tr">
        <x:v>Registros por completar</x:v>
      </x:c>
      <x:c r="B8" s="2" t="n">
        <x:f>COUNTIFS($M$11:$M$210,"Completar gestión")+COUNTIFS($M$11:$M$210,"Falta ID")+COUNTIFS($M$11:$M$210,"ID duplicado")+COUNTIFS($M$11:$M$210,"Completar cierre")+COUNTIFS($M$11:$M$210,"Revisar fecha")</x:f>
        <x:v>0</x:v>
      </x:c>
      <x:c r="C8" s="2"/>
      <x:c r="D8" s="2" t="str">
        <x:v>Capacidad de plantilla</x:v>
      </x:c>
      <x:c r="E8" s="2" t="n">
        <x:v>200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44" customHeight="1">
      <x:c r="A10" s="9" t="str">
        <x:v>ID</x:v>
      </x:c>
      <x:c r="B10" s="9" t="str">
        <x:v>Ingreso</x:v>
      </x:c>
      <x:c r="C10" s="9" t="str">
        <x:v>Empresa</x:v>
      </x:c>
      <x:c r="D10" s="9" t="str">
        <x:v>Contacto / medio</x:v>
      </x:c>
      <x:c r="E10" s="9" t="str">
        <x:v>Canal</x:v>
      </x:c>
      <x:c r="F10" s="9" t="str">
        <x:v>Origen</x:v>
      </x:c>
      <x:c r="G10" s="9" t="str">
        <x:v>Servicio</x:v>
      </x:c>
      <x:c r="H10" s="9" t="str">
        <x:v>Etapa</x:v>
      </x:c>
      <x:c r="I10" s="9" t="str">
        <x:v>Responsable</x:v>
      </x:c>
      <x:c r="J10" s="9" t="str">
        <x:v>Última gestión</x:v>
      </x:c>
      <x:c r="K10" s="9" t="str">
        <x:v>Próxima acción</x:v>
      </x:c>
      <x:c r="L10" s="9" t="str">
        <x:v>Fecha próxima</x:v>
      </x:c>
      <x:c r="M10" s="9" t="str">
        <x:v>Seguimiento</x:v>
      </x:c>
      <x:c r="N10" s="9" t="str">
        <x:v>Fecha contrato</x:v>
      </x:c>
      <x:c r="O10" s="9" t="str">
        <x:v>Fecha entrega</x:v>
      </x:c>
      <x:c r="P10" s="9" t="str">
        <x:v>Motivo descarte</x:v>
      </x:c>
      <x:c r="Q10" s="9" t="str">
        <x:v>Notas comerciales</x:v>
      </x:c>
    </x:row>
    <x:row r="11" ht="28" customHeight="1">
      <x:c r="A11" s="13"/>
      <x:c r="B11" s="12"/>
      <x:c r="C11" s="10"/>
      <x:c r="D11" s="13"/>
      <x:c r="E11" s="10"/>
      <x:c r="F11" s="10"/>
      <x:c r="G11" s="10"/>
      <x:c r="H11" s="10"/>
      <x:c r="I11" s="10"/>
      <x:c r="J11" s="12"/>
      <x:c r="K11" s="10"/>
      <x:c r="L11" s="12"/>
      <x:c r="M11" s="11" t="str">
        <x:f>IF(A11="",IF(C11="","","Falta ID"),IF(COUNTIFS($A$11:$A$210,A11)&gt;1,"ID duplicado",IF(AND(OR(H11="Contratado",H11="Implementación",H11="Entregado"),NOT(ISNUMBER(N11))),"Completar cierre",IF(H11="Entregado",IF(NOT(ISNUMBER(O11)),"Completar cierre","Cerrado"),IF(H11="Descartado",IF(P11="","Completar cierre","Cerrado"),IF(OR(C11="",D11="",E11="",F11="",G11="",H11="",I11="",K11="",L11="",B11=""),"Completar gestión",IF(NOT(ISNUMBER(L11)),"Revisar fecha",IF(L11&lt;TODAY(),"Vencido",IF(L11=TODAY(),"Hoy","Programado")))))))))</x:f>
      </x:c>
      <x:c r="N11" s="12"/>
      <x:c r="O11" s="12"/>
      <x:c r="P11" s="10"/>
      <x:c r="Q11" s="10"/>
    </x:row>
    <x:row r="12" ht="28" customHeight="1">
      <x:c r="A12" s="13"/>
      <x:c r="B12" s="12"/>
      <x:c r="C12" s="10"/>
      <x:c r="D12" s="13"/>
      <x:c r="E12" s="10"/>
      <x:c r="F12" s="10"/>
      <x:c r="G12" s="10"/>
      <x:c r="H12" s="10"/>
      <x:c r="I12" s="10"/>
      <x:c r="J12" s="12"/>
      <x:c r="K12" s="10"/>
      <x:c r="L12" s="12"/>
      <x:c r="M12" s="11" t="str">
        <x:f>IF(A12="",IF(C12="","","Falta ID"),IF(COUNTIFS($A$11:$A$210,A12)&gt;1,"ID duplicado",IF(AND(OR(H12="Contratado",H12="Implementación",H12="Entregado"),NOT(ISNUMBER(N12))),"Completar cierre",IF(H12="Entregado",IF(NOT(ISNUMBER(O12)),"Completar cierre","Cerrado"),IF(H12="Descartado",IF(P12="","Completar cierre","Cerrado"),IF(OR(C12="",D12="",E12="",F12="",G12="",H12="",I12="",K12="",L12="",B12=""),"Completar gestión",IF(NOT(ISNUMBER(L12)),"Revisar fecha",IF(L12&lt;TODAY(),"Vencido",IF(L12=TODAY(),"Hoy","Programado")))))))))</x:f>
      </x:c>
      <x:c r="N12" s="12"/>
      <x:c r="O12" s="12"/>
      <x:c r="P12" s="10"/>
      <x:c r="Q12" s="10"/>
    </x:row>
    <x:row r="13" ht="28" customHeight="1">
      <x:c r="A13" s="13"/>
      <x:c r="B13" s="12"/>
      <x:c r="C13" s="10"/>
      <x:c r="D13" s="13"/>
      <x:c r="E13" s="10"/>
      <x:c r="F13" s="10"/>
      <x:c r="G13" s="10"/>
      <x:c r="H13" s="10"/>
      <x:c r="I13" s="10"/>
      <x:c r="J13" s="12"/>
      <x:c r="K13" s="10"/>
      <x:c r="L13" s="12"/>
      <x:c r="M13" s="11" t="str">
        <x:f>IF(A13="",IF(C13="","","Falta ID"),IF(COUNTIFS($A$11:$A$210,A13)&gt;1,"ID duplicado",IF(AND(OR(H13="Contratado",H13="Implementación",H13="Entregado"),NOT(ISNUMBER(N13))),"Completar cierre",IF(H13="Entregado",IF(NOT(ISNUMBER(O13)),"Completar cierre","Cerrado"),IF(H13="Descartado",IF(P13="","Completar cierre","Cerrado"),IF(OR(C13="",D13="",E13="",F13="",G13="",H13="",I13="",K13="",L13="",B13=""),"Completar gestión",IF(NOT(ISNUMBER(L13)),"Revisar fecha",IF(L13&lt;TODAY(),"Vencido",IF(L13=TODAY(),"Hoy","Programado")))))))))</x:f>
      </x:c>
      <x:c r="N13" s="12"/>
      <x:c r="O13" s="12"/>
      <x:c r="P13" s="10"/>
      <x:c r="Q13" s="10"/>
    </x:row>
    <x:row r="14" ht="28" customHeight="1">
      <x:c r="A14" s="13"/>
      <x:c r="B14" s="12"/>
      <x:c r="C14" s="10"/>
      <x:c r="D14" s="13"/>
      <x:c r="E14" s="10"/>
      <x:c r="F14" s="10"/>
      <x:c r="G14" s="10"/>
      <x:c r="H14" s="10"/>
      <x:c r="I14" s="10"/>
      <x:c r="J14" s="12"/>
      <x:c r="K14" s="10"/>
      <x:c r="L14" s="12"/>
      <x:c r="M14" s="11" t="str">
        <x:f>IF(A14="",IF(C14="","","Falta ID"),IF(COUNTIFS($A$11:$A$210,A14)&gt;1,"ID duplicado",IF(AND(OR(H14="Contratado",H14="Implementación",H14="Entregado"),NOT(ISNUMBER(N14))),"Completar cierre",IF(H14="Entregado",IF(NOT(ISNUMBER(O14)),"Completar cierre","Cerrado"),IF(H14="Descartado",IF(P14="","Completar cierre","Cerrado"),IF(OR(C14="",D14="",E14="",F14="",G14="",H14="",I14="",K14="",L14="",B14=""),"Completar gestión",IF(NOT(ISNUMBER(L14)),"Revisar fecha",IF(L14&lt;TODAY(),"Vencido",IF(L14=TODAY(),"Hoy","Programado")))))))))</x:f>
      </x:c>
      <x:c r="N14" s="12"/>
      <x:c r="O14" s="12"/>
      <x:c r="P14" s="10"/>
      <x:c r="Q14" s="10"/>
    </x:row>
    <x:row r="15" ht="28" customHeight="1">
      <x:c r="A15" s="13"/>
      <x:c r="B15" s="12"/>
      <x:c r="C15" s="10"/>
      <x:c r="D15" s="13"/>
      <x:c r="E15" s="10"/>
      <x:c r="F15" s="10"/>
      <x:c r="G15" s="10"/>
      <x:c r="H15" s="10"/>
      <x:c r="I15" s="10"/>
      <x:c r="J15" s="12"/>
      <x:c r="K15" s="10"/>
      <x:c r="L15" s="12"/>
      <x:c r="M15" s="11" t="str">
        <x:f>IF(A15="",IF(C15="","","Falta ID"),IF(COUNTIFS($A$11:$A$210,A15)&gt;1,"ID duplicado",IF(AND(OR(H15="Contratado",H15="Implementación",H15="Entregado"),NOT(ISNUMBER(N15))),"Completar cierre",IF(H15="Entregado",IF(NOT(ISNUMBER(O15)),"Completar cierre","Cerrado"),IF(H15="Descartado",IF(P15="","Completar cierre","Cerrado"),IF(OR(C15="",D15="",E15="",F15="",G15="",H15="",I15="",K15="",L15="",B15=""),"Completar gestión",IF(NOT(ISNUMBER(L15)),"Revisar fecha",IF(L15&lt;TODAY(),"Vencido",IF(L15=TODAY(),"Hoy","Programado")))))))))</x:f>
      </x:c>
      <x:c r="N15" s="12"/>
      <x:c r="O15" s="12"/>
      <x:c r="P15" s="10"/>
      <x:c r="Q15" s="10"/>
    </x:row>
    <x:row r="16" ht="28" customHeight="1">
      <x:c r="A16" s="13"/>
      <x:c r="B16" s="12"/>
      <x:c r="C16" s="10"/>
      <x:c r="D16" s="13"/>
      <x:c r="E16" s="10"/>
      <x:c r="F16" s="10"/>
      <x:c r="G16" s="10"/>
      <x:c r="H16" s="10"/>
      <x:c r="I16" s="10"/>
      <x:c r="J16" s="12"/>
      <x:c r="K16" s="10"/>
      <x:c r="L16" s="12"/>
      <x:c r="M16" s="11" t="str">
        <x:f>IF(A16="",IF(C16="","","Falta ID"),IF(COUNTIFS($A$11:$A$210,A16)&gt;1,"ID duplicado",IF(AND(OR(H16="Contratado",H16="Implementación",H16="Entregado"),NOT(ISNUMBER(N16))),"Completar cierre",IF(H16="Entregado",IF(NOT(ISNUMBER(O16)),"Completar cierre","Cerrado"),IF(H16="Descartado",IF(P16="","Completar cierre","Cerrado"),IF(OR(C16="",D16="",E16="",F16="",G16="",H16="",I16="",K16="",L16="",B16=""),"Completar gestión",IF(NOT(ISNUMBER(L16)),"Revisar fecha",IF(L16&lt;TODAY(),"Vencido",IF(L16=TODAY(),"Hoy","Programado")))))))))</x:f>
      </x:c>
      <x:c r="N16" s="12"/>
      <x:c r="O16" s="12"/>
      <x:c r="P16" s="10"/>
      <x:c r="Q16" s="10"/>
    </x:row>
    <x:row r="17" ht="28" customHeight="1">
      <x:c r="A17" s="13"/>
      <x:c r="B17" s="12"/>
      <x:c r="C17" s="10"/>
      <x:c r="D17" s="13"/>
      <x:c r="E17" s="10"/>
      <x:c r="F17" s="10"/>
      <x:c r="G17" s="10"/>
      <x:c r="H17" s="10"/>
      <x:c r="I17" s="10"/>
      <x:c r="J17" s="12"/>
      <x:c r="K17" s="10"/>
      <x:c r="L17" s="12"/>
      <x:c r="M17" s="11" t="str">
        <x:f>IF(A17="",IF(C17="","","Falta ID"),IF(COUNTIFS($A$11:$A$210,A17)&gt;1,"ID duplicado",IF(AND(OR(H17="Contratado",H17="Implementación",H17="Entregado"),NOT(ISNUMBER(N17))),"Completar cierre",IF(H17="Entregado",IF(NOT(ISNUMBER(O17)),"Completar cierre","Cerrado"),IF(H17="Descartado",IF(P17="","Completar cierre","Cerrado"),IF(OR(C17="",D17="",E17="",F17="",G17="",H17="",I17="",K17="",L17="",B17=""),"Completar gestión",IF(NOT(ISNUMBER(L17)),"Revisar fecha",IF(L17&lt;TODAY(),"Vencido",IF(L17=TODAY(),"Hoy","Programado")))))))))</x:f>
      </x:c>
      <x:c r="N17" s="12"/>
      <x:c r="O17" s="12"/>
      <x:c r="P17" s="10"/>
      <x:c r="Q17" s="10"/>
    </x:row>
    <x:row r="18" ht="28" customHeight="1">
      <x:c r="A18" s="13"/>
      <x:c r="B18" s="12"/>
      <x:c r="C18" s="10"/>
      <x:c r="D18" s="13"/>
      <x:c r="E18" s="10"/>
      <x:c r="F18" s="10"/>
      <x:c r="G18" s="10"/>
      <x:c r="H18" s="10"/>
      <x:c r="I18" s="10"/>
      <x:c r="J18" s="12"/>
      <x:c r="K18" s="10"/>
      <x:c r="L18" s="12"/>
      <x:c r="M18" s="11" t="str">
        <x:f>IF(A18="",IF(C18="","","Falta ID"),IF(COUNTIFS($A$11:$A$210,A18)&gt;1,"ID duplicado",IF(AND(OR(H18="Contratado",H18="Implementación",H18="Entregado"),NOT(ISNUMBER(N18))),"Completar cierre",IF(H18="Entregado",IF(NOT(ISNUMBER(O18)),"Completar cierre","Cerrado"),IF(H18="Descartado",IF(P18="","Completar cierre","Cerrado"),IF(OR(C18="",D18="",E18="",F18="",G18="",H18="",I18="",K18="",L18="",B18=""),"Completar gestión",IF(NOT(ISNUMBER(L18)),"Revisar fecha",IF(L18&lt;TODAY(),"Vencido",IF(L18=TODAY(),"Hoy","Programado")))))))))</x:f>
      </x:c>
      <x:c r="N18" s="12"/>
      <x:c r="O18" s="12"/>
      <x:c r="P18" s="10"/>
      <x:c r="Q18" s="10"/>
    </x:row>
    <x:row r="19" ht="28" customHeight="1">
      <x:c r="A19" s="13"/>
      <x:c r="B19" s="12"/>
      <x:c r="C19" s="10"/>
      <x:c r="D19" s="13"/>
      <x:c r="E19" s="10"/>
      <x:c r="F19" s="10"/>
      <x:c r="G19" s="10"/>
      <x:c r="H19" s="10"/>
      <x:c r="I19" s="10"/>
      <x:c r="J19" s="12"/>
      <x:c r="K19" s="10"/>
      <x:c r="L19" s="12"/>
      <x:c r="M19" s="11" t="str">
        <x:f>IF(A19="",IF(C19="","","Falta ID"),IF(COUNTIFS($A$11:$A$210,A19)&gt;1,"ID duplicado",IF(AND(OR(H19="Contratado",H19="Implementación",H19="Entregado"),NOT(ISNUMBER(N19))),"Completar cierre",IF(H19="Entregado",IF(NOT(ISNUMBER(O19)),"Completar cierre","Cerrado"),IF(H19="Descartado",IF(P19="","Completar cierre","Cerrado"),IF(OR(C19="",D19="",E19="",F19="",G19="",H19="",I19="",K19="",L19="",B19=""),"Completar gestión",IF(NOT(ISNUMBER(L19)),"Revisar fecha",IF(L19&lt;TODAY(),"Vencido",IF(L19=TODAY(),"Hoy","Programado")))))))))</x:f>
      </x:c>
      <x:c r="N19" s="12"/>
      <x:c r="O19" s="12"/>
      <x:c r="P19" s="10"/>
      <x:c r="Q19" s="10"/>
    </x:row>
    <x:row r="20" ht="28" customHeight="1">
      <x:c r="A20" s="13"/>
      <x:c r="B20" s="12"/>
      <x:c r="C20" s="10"/>
      <x:c r="D20" s="13"/>
      <x:c r="E20" s="10"/>
      <x:c r="F20" s="10"/>
      <x:c r="G20" s="10"/>
      <x:c r="H20" s="10"/>
      <x:c r="I20" s="10"/>
      <x:c r="J20" s="12"/>
      <x:c r="K20" s="10"/>
      <x:c r="L20" s="12"/>
      <x:c r="M20" s="11" t="str">
        <x:f>IF(A20="",IF(C20="","","Falta ID"),IF(COUNTIFS($A$11:$A$210,A20)&gt;1,"ID duplicado",IF(AND(OR(H20="Contratado",H20="Implementación",H20="Entregado"),NOT(ISNUMBER(N20))),"Completar cierre",IF(H20="Entregado",IF(NOT(ISNUMBER(O20)),"Completar cierre","Cerrado"),IF(H20="Descartado",IF(P20="","Completar cierre","Cerrado"),IF(OR(C20="",D20="",E20="",F20="",G20="",H20="",I20="",K20="",L20="",B20=""),"Completar gestión",IF(NOT(ISNUMBER(L20)),"Revisar fecha",IF(L20&lt;TODAY(),"Vencido",IF(L20=TODAY(),"Hoy","Programado")))))))))</x:f>
      </x:c>
      <x:c r="N20" s="12"/>
      <x:c r="O20" s="12"/>
      <x:c r="P20" s="10"/>
      <x:c r="Q20" s="10"/>
    </x:row>
    <x:row r="21" ht="28" customHeight="1">
      <x:c r="A21" s="13"/>
      <x:c r="B21" s="12"/>
      <x:c r="C21" s="10"/>
      <x:c r="D21" s="13"/>
      <x:c r="E21" s="10"/>
      <x:c r="F21" s="10"/>
      <x:c r="G21" s="10"/>
      <x:c r="H21" s="10"/>
      <x:c r="I21" s="10"/>
      <x:c r="J21" s="12"/>
      <x:c r="K21" s="10"/>
      <x:c r="L21" s="12"/>
      <x:c r="M21" s="11" t="str">
        <x:f>IF(A21="",IF(C21="","","Falta ID"),IF(COUNTIFS($A$11:$A$210,A21)&gt;1,"ID duplicado",IF(AND(OR(H21="Contratado",H21="Implementación",H21="Entregado"),NOT(ISNUMBER(N21))),"Completar cierre",IF(H21="Entregado",IF(NOT(ISNUMBER(O21)),"Completar cierre","Cerrado"),IF(H21="Descartado",IF(P21="","Completar cierre","Cerrado"),IF(OR(C21="",D21="",E21="",F21="",G21="",H21="",I21="",K21="",L21="",B21=""),"Completar gestión",IF(NOT(ISNUMBER(L21)),"Revisar fecha",IF(L21&lt;TODAY(),"Vencido",IF(L21=TODAY(),"Hoy","Programado")))))))))</x:f>
      </x:c>
      <x:c r="N21" s="12"/>
      <x:c r="O21" s="12"/>
      <x:c r="P21" s="10"/>
      <x:c r="Q21" s="10"/>
    </x:row>
    <x:row r="22" ht="28" customHeight="1">
      <x:c r="A22" s="13"/>
      <x:c r="B22" s="12"/>
      <x:c r="C22" s="10"/>
      <x:c r="D22" s="13"/>
      <x:c r="E22" s="10"/>
      <x:c r="F22" s="10"/>
      <x:c r="G22" s="10"/>
      <x:c r="H22" s="10"/>
      <x:c r="I22" s="10"/>
      <x:c r="J22" s="12"/>
      <x:c r="K22" s="10"/>
      <x:c r="L22" s="12"/>
      <x:c r="M22" s="11" t="str">
        <x:f>IF(A22="",IF(C22="","","Falta ID"),IF(COUNTIFS($A$11:$A$210,A22)&gt;1,"ID duplicado",IF(AND(OR(H22="Contratado",H22="Implementación",H22="Entregado"),NOT(ISNUMBER(N22))),"Completar cierre",IF(H22="Entregado",IF(NOT(ISNUMBER(O22)),"Completar cierre","Cerrado"),IF(H22="Descartado",IF(P22="","Completar cierre","Cerrado"),IF(OR(C22="",D22="",E22="",F22="",G22="",H22="",I22="",K22="",L22="",B22=""),"Completar gestión",IF(NOT(ISNUMBER(L22)),"Revisar fecha",IF(L22&lt;TODAY(),"Vencido",IF(L22=TODAY(),"Hoy","Programado")))))))))</x:f>
      </x:c>
      <x:c r="N22" s="12"/>
      <x:c r="O22" s="12"/>
      <x:c r="P22" s="10"/>
      <x:c r="Q22" s="10"/>
    </x:row>
    <x:row r="23" ht="28" customHeight="1">
      <x:c r="A23" s="13"/>
      <x:c r="B23" s="12"/>
      <x:c r="C23" s="10"/>
      <x:c r="D23" s="13"/>
      <x:c r="E23" s="10"/>
      <x:c r="F23" s="10"/>
      <x:c r="G23" s="10"/>
      <x:c r="H23" s="10"/>
      <x:c r="I23" s="10"/>
      <x:c r="J23" s="12"/>
      <x:c r="K23" s="10"/>
      <x:c r="L23" s="12"/>
      <x:c r="M23" s="11" t="str">
        <x:f>IF(A23="",IF(C23="","","Falta ID"),IF(COUNTIFS($A$11:$A$210,A23)&gt;1,"ID duplicado",IF(AND(OR(H23="Contratado",H23="Implementación",H23="Entregado"),NOT(ISNUMBER(N23))),"Completar cierre",IF(H23="Entregado",IF(NOT(ISNUMBER(O23)),"Completar cierre","Cerrado"),IF(H23="Descartado",IF(P23="","Completar cierre","Cerrado"),IF(OR(C23="",D23="",E23="",F23="",G23="",H23="",I23="",K23="",L23="",B23=""),"Completar gestión",IF(NOT(ISNUMBER(L23)),"Revisar fecha",IF(L23&lt;TODAY(),"Vencido",IF(L23=TODAY(),"Hoy","Programado")))))))))</x:f>
      </x:c>
      <x:c r="N23" s="12"/>
      <x:c r="O23" s="12"/>
      <x:c r="P23" s="10"/>
      <x:c r="Q23" s="10"/>
    </x:row>
    <x:row r="24" ht="28" customHeight="1">
      <x:c r="A24" s="13"/>
      <x:c r="B24" s="12"/>
      <x:c r="C24" s="10"/>
      <x:c r="D24" s="13"/>
      <x:c r="E24" s="10"/>
      <x:c r="F24" s="10"/>
      <x:c r="G24" s="10"/>
      <x:c r="H24" s="10"/>
      <x:c r="I24" s="10"/>
      <x:c r="J24" s="12"/>
      <x:c r="K24" s="10"/>
      <x:c r="L24" s="12"/>
      <x:c r="M24" s="11" t="str">
        <x:f>IF(A24="",IF(C24="","","Falta ID"),IF(COUNTIFS($A$11:$A$210,A24)&gt;1,"ID duplicado",IF(AND(OR(H24="Contratado",H24="Implementación",H24="Entregado"),NOT(ISNUMBER(N24))),"Completar cierre",IF(H24="Entregado",IF(NOT(ISNUMBER(O24)),"Completar cierre","Cerrado"),IF(H24="Descartado",IF(P24="","Completar cierre","Cerrado"),IF(OR(C24="",D24="",E24="",F24="",G24="",H24="",I24="",K24="",L24="",B24=""),"Completar gestión",IF(NOT(ISNUMBER(L24)),"Revisar fecha",IF(L24&lt;TODAY(),"Vencido",IF(L24=TODAY(),"Hoy","Programado")))))))))</x:f>
      </x:c>
      <x:c r="N24" s="12"/>
      <x:c r="O24" s="12"/>
      <x:c r="P24" s="10"/>
      <x:c r="Q24" s="10"/>
    </x:row>
    <x:row r="25" ht="28" customHeight="1">
      <x:c r="A25" s="13"/>
      <x:c r="B25" s="12"/>
      <x:c r="C25" s="10"/>
      <x:c r="D25" s="13"/>
      <x:c r="E25" s="10"/>
      <x:c r="F25" s="10"/>
      <x:c r="G25" s="10"/>
      <x:c r="H25" s="10"/>
      <x:c r="I25" s="10"/>
      <x:c r="J25" s="12"/>
      <x:c r="K25" s="10"/>
      <x:c r="L25" s="12"/>
      <x:c r="M25" s="11" t="str">
        <x:f>IF(A25="",IF(C25="","","Falta ID"),IF(COUNTIFS($A$11:$A$210,A25)&gt;1,"ID duplicado",IF(AND(OR(H25="Contratado",H25="Implementación",H25="Entregado"),NOT(ISNUMBER(N25))),"Completar cierre",IF(H25="Entregado",IF(NOT(ISNUMBER(O25)),"Completar cierre","Cerrado"),IF(H25="Descartado",IF(P25="","Completar cierre","Cerrado"),IF(OR(C25="",D25="",E25="",F25="",G25="",H25="",I25="",K25="",L25="",B25=""),"Completar gestión",IF(NOT(ISNUMBER(L25)),"Revisar fecha",IF(L25&lt;TODAY(),"Vencido",IF(L25=TODAY(),"Hoy","Programado")))))))))</x:f>
      </x:c>
      <x:c r="N25" s="12"/>
      <x:c r="O25" s="12"/>
      <x:c r="P25" s="10"/>
      <x:c r="Q25" s="10"/>
    </x:row>
    <x:row r="26" ht="28" customHeight="1">
      <x:c r="A26" s="13"/>
      <x:c r="B26" s="12"/>
      <x:c r="C26" s="10"/>
      <x:c r="D26" s="13"/>
      <x:c r="E26" s="10"/>
      <x:c r="F26" s="10"/>
      <x:c r="G26" s="10"/>
      <x:c r="H26" s="10"/>
      <x:c r="I26" s="10"/>
      <x:c r="J26" s="12"/>
      <x:c r="K26" s="10"/>
      <x:c r="L26" s="12"/>
      <x:c r="M26" s="11" t="str">
        <x:f>IF(A26="",IF(C26="","","Falta ID"),IF(COUNTIFS($A$11:$A$210,A26)&gt;1,"ID duplicado",IF(AND(OR(H26="Contratado",H26="Implementación",H26="Entregado"),NOT(ISNUMBER(N26))),"Completar cierre",IF(H26="Entregado",IF(NOT(ISNUMBER(O26)),"Completar cierre","Cerrado"),IF(H26="Descartado",IF(P26="","Completar cierre","Cerrado"),IF(OR(C26="",D26="",E26="",F26="",G26="",H26="",I26="",K26="",L26="",B26=""),"Completar gestión",IF(NOT(ISNUMBER(L26)),"Revisar fecha",IF(L26&lt;TODAY(),"Vencido",IF(L26=TODAY(),"Hoy","Programado")))))))))</x:f>
      </x:c>
      <x:c r="N26" s="12"/>
      <x:c r="O26" s="12"/>
      <x:c r="P26" s="10"/>
      <x:c r="Q26" s="10"/>
    </x:row>
    <x:row r="27" ht="28" customHeight="1">
      <x:c r="A27" s="13"/>
      <x:c r="B27" s="12"/>
      <x:c r="C27" s="10"/>
      <x:c r="D27" s="13"/>
      <x:c r="E27" s="10"/>
      <x:c r="F27" s="10"/>
      <x:c r="G27" s="10"/>
      <x:c r="H27" s="10"/>
      <x:c r="I27" s="10"/>
      <x:c r="J27" s="12"/>
      <x:c r="K27" s="10"/>
      <x:c r="L27" s="12"/>
      <x:c r="M27" s="11" t="str">
        <x:f>IF(A27="",IF(C27="","","Falta ID"),IF(COUNTIFS($A$11:$A$210,A27)&gt;1,"ID duplicado",IF(AND(OR(H27="Contratado",H27="Implementación",H27="Entregado"),NOT(ISNUMBER(N27))),"Completar cierre",IF(H27="Entregado",IF(NOT(ISNUMBER(O27)),"Completar cierre","Cerrado"),IF(H27="Descartado",IF(P27="","Completar cierre","Cerrado"),IF(OR(C27="",D27="",E27="",F27="",G27="",H27="",I27="",K27="",L27="",B27=""),"Completar gestión",IF(NOT(ISNUMBER(L27)),"Revisar fecha",IF(L27&lt;TODAY(),"Vencido",IF(L27=TODAY(),"Hoy","Programado")))))))))</x:f>
      </x:c>
      <x:c r="N27" s="12"/>
      <x:c r="O27" s="12"/>
      <x:c r="P27" s="10"/>
      <x:c r="Q27" s="10"/>
    </x:row>
    <x:row r="28" ht="28" customHeight="1">
      <x:c r="A28" s="13"/>
      <x:c r="B28" s="12"/>
      <x:c r="C28" s="10"/>
      <x:c r="D28" s="13"/>
      <x:c r="E28" s="10"/>
      <x:c r="F28" s="10"/>
      <x:c r="G28" s="10"/>
      <x:c r="H28" s="10"/>
      <x:c r="I28" s="10"/>
      <x:c r="J28" s="12"/>
      <x:c r="K28" s="10"/>
      <x:c r="L28" s="12"/>
      <x:c r="M28" s="11" t="str">
        <x:f>IF(A28="",IF(C28="","","Falta ID"),IF(COUNTIFS($A$11:$A$210,A28)&gt;1,"ID duplicado",IF(AND(OR(H28="Contratado",H28="Implementación",H28="Entregado"),NOT(ISNUMBER(N28))),"Completar cierre",IF(H28="Entregado",IF(NOT(ISNUMBER(O28)),"Completar cierre","Cerrado"),IF(H28="Descartado",IF(P28="","Completar cierre","Cerrado"),IF(OR(C28="",D28="",E28="",F28="",G28="",H28="",I28="",K28="",L28="",B28=""),"Completar gestión",IF(NOT(ISNUMBER(L28)),"Revisar fecha",IF(L28&lt;TODAY(),"Vencido",IF(L28=TODAY(),"Hoy","Programado")))))))))</x:f>
      </x:c>
      <x:c r="N28" s="12"/>
      <x:c r="O28" s="12"/>
      <x:c r="P28" s="10"/>
      <x:c r="Q28" s="10"/>
    </x:row>
    <x:row r="29" ht="28" customHeight="1">
      <x:c r="A29" s="13"/>
      <x:c r="B29" s="12"/>
      <x:c r="C29" s="10"/>
      <x:c r="D29" s="13"/>
      <x:c r="E29" s="10"/>
      <x:c r="F29" s="10"/>
      <x:c r="G29" s="10"/>
      <x:c r="H29" s="10"/>
      <x:c r="I29" s="10"/>
      <x:c r="J29" s="12"/>
      <x:c r="K29" s="10"/>
      <x:c r="L29" s="12"/>
      <x:c r="M29" s="11" t="str">
        <x:f>IF(A29="",IF(C29="","","Falta ID"),IF(COUNTIFS($A$11:$A$210,A29)&gt;1,"ID duplicado",IF(AND(OR(H29="Contratado",H29="Implementación",H29="Entregado"),NOT(ISNUMBER(N29))),"Completar cierre",IF(H29="Entregado",IF(NOT(ISNUMBER(O29)),"Completar cierre","Cerrado"),IF(H29="Descartado",IF(P29="","Completar cierre","Cerrado"),IF(OR(C29="",D29="",E29="",F29="",G29="",H29="",I29="",K29="",L29="",B29=""),"Completar gestión",IF(NOT(ISNUMBER(L29)),"Revisar fecha",IF(L29&lt;TODAY(),"Vencido",IF(L29=TODAY(),"Hoy","Programado")))))))))</x:f>
      </x:c>
      <x:c r="N29" s="12"/>
      <x:c r="O29" s="12"/>
      <x:c r="P29" s="10"/>
      <x:c r="Q29" s="10"/>
    </x:row>
    <x:row r="30" ht="28" customHeight="1">
      <x:c r="A30" s="13"/>
      <x:c r="B30" s="12"/>
      <x:c r="C30" s="10"/>
      <x:c r="D30" s="13"/>
      <x:c r="E30" s="10"/>
      <x:c r="F30" s="10"/>
      <x:c r="G30" s="10"/>
      <x:c r="H30" s="10"/>
      <x:c r="I30" s="10"/>
      <x:c r="J30" s="12"/>
      <x:c r="K30" s="10"/>
      <x:c r="L30" s="12"/>
      <x:c r="M30" s="11" t="str">
        <x:f>IF(A30="",IF(C30="","","Falta ID"),IF(COUNTIFS($A$11:$A$210,A30)&gt;1,"ID duplicado",IF(AND(OR(H30="Contratado",H30="Implementación",H30="Entregado"),NOT(ISNUMBER(N30))),"Completar cierre",IF(H30="Entregado",IF(NOT(ISNUMBER(O30)),"Completar cierre","Cerrado"),IF(H30="Descartado",IF(P30="","Completar cierre","Cerrado"),IF(OR(C30="",D30="",E30="",F30="",G30="",H30="",I30="",K30="",L30="",B30=""),"Completar gestión",IF(NOT(ISNUMBER(L30)),"Revisar fecha",IF(L30&lt;TODAY(),"Vencido",IF(L30=TODAY(),"Hoy","Programado")))))))))</x:f>
      </x:c>
      <x:c r="N30" s="12"/>
      <x:c r="O30" s="12"/>
      <x:c r="P30" s="10"/>
      <x:c r="Q30" s="10"/>
    </x:row>
    <x:row r="31" ht="28" customHeight="1">
      <x:c r="A31" s="13"/>
      <x:c r="B31" s="12"/>
      <x:c r="C31" s="10"/>
      <x:c r="D31" s="13"/>
      <x:c r="E31" s="10"/>
      <x:c r="F31" s="10"/>
      <x:c r="G31" s="10"/>
      <x:c r="H31" s="10"/>
      <x:c r="I31" s="10"/>
      <x:c r="J31" s="12"/>
      <x:c r="K31" s="10"/>
      <x:c r="L31" s="12"/>
      <x:c r="M31" s="11" t="str">
        <x:f>IF(A31="",IF(C31="","","Falta ID"),IF(COUNTIFS($A$11:$A$210,A31)&gt;1,"ID duplicado",IF(AND(OR(H31="Contratado",H31="Implementación",H31="Entregado"),NOT(ISNUMBER(N31))),"Completar cierre",IF(H31="Entregado",IF(NOT(ISNUMBER(O31)),"Completar cierre","Cerrado"),IF(H31="Descartado",IF(P31="","Completar cierre","Cerrado"),IF(OR(C31="",D31="",E31="",F31="",G31="",H31="",I31="",K31="",L31="",B31=""),"Completar gestión",IF(NOT(ISNUMBER(L31)),"Revisar fecha",IF(L31&lt;TODAY(),"Vencido",IF(L31=TODAY(),"Hoy","Programado")))))))))</x:f>
      </x:c>
      <x:c r="N31" s="12"/>
      <x:c r="O31" s="12"/>
      <x:c r="P31" s="10"/>
      <x:c r="Q31" s="10"/>
    </x:row>
    <x:row r="32" ht="28" customHeight="1">
      <x:c r="A32" s="13"/>
      <x:c r="B32" s="12"/>
      <x:c r="C32" s="10"/>
      <x:c r="D32" s="13"/>
      <x:c r="E32" s="10"/>
      <x:c r="F32" s="10"/>
      <x:c r="G32" s="10"/>
      <x:c r="H32" s="10"/>
      <x:c r="I32" s="10"/>
      <x:c r="J32" s="12"/>
      <x:c r="K32" s="10"/>
      <x:c r="L32" s="12"/>
      <x:c r="M32" s="11" t="str">
        <x:f>IF(A32="",IF(C32="","","Falta ID"),IF(COUNTIFS($A$11:$A$210,A32)&gt;1,"ID duplicado",IF(AND(OR(H32="Contratado",H32="Implementación",H32="Entregado"),NOT(ISNUMBER(N32))),"Completar cierre",IF(H32="Entregado",IF(NOT(ISNUMBER(O32)),"Completar cierre","Cerrado"),IF(H32="Descartado",IF(P32="","Completar cierre","Cerrado"),IF(OR(C32="",D32="",E32="",F32="",G32="",H32="",I32="",K32="",L32="",B32=""),"Completar gestión",IF(NOT(ISNUMBER(L32)),"Revisar fecha",IF(L32&lt;TODAY(),"Vencido",IF(L32=TODAY(),"Hoy","Programado")))))))))</x:f>
      </x:c>
      <x:c r="N32" s="12"/>
      <x:c r="O32" s="12"/>
      <x:c r="P32" s="10"/>
      <x:c r="Q32" s="10"/>
    </x:row>
    <x:row r="33" ht="28" customHeight="1">
      <x:c r="A33" s="13"/>
      <x:c r="B33" s="12"/>
      <x:c r="C33" s="10"/>
      <x:c r="D33" s="13"/>
      <x:c r="E33" s="10"/>
      <x:c r="F33" s="10"/>
      <x:c r="G33" s="10"/>
      <x:c r="H33" s="10"/>
      <x:c r="I33" s="10"/>
      <x:c r="J33" s="12"/>
      <x:c r="K33" s="10"/>
      <x:c r="L33" s="12"/>
      <x:c r="M33" s="11" t="str">
        <x:f>IF(A33="",IF(C33="","","Falta ID"),IF(COUNTIFS($A$11:$A$210,A33)&gt;1,"ID duplicado",IF(AND(OR(H33="Contratado",H33="Implementación",H33="Entregado"),NOT(ISNUMBER(N33))),"Completar cierre",IF(H33="Entregado",IF(NOT(ISNUMBER(O33)),"Completar cierre","Cerrado"),IF(H33="Descartado",IF(P33="","Completar cierre","Cerrado"),IF(OR(C33="",D33="",E33="",F33="",G33="",H33="",I33="",K33="",L33="",B33=""),"Completar gestión",IF(NOT(ISNUMBER(L33)),"Revisar fecha",IF(L33&lt;TODAY(),"Vencido",IF(L33=TODAY(),"Hoy","Programado")))))))))</x:f>
      </x:c>
      <x:c r="N33" s="12"/>
      <x:c r="O33" s="12"/>
      <x:c r="P33" s="10"/>
      <x:c r="Q33" s="10"/>
    </x:row>
    <x:row r="34" ht="28" customHeight="1">
      <x:c r="A34" s="13"/>
      <x:c r="B34" s="12"/>
      <x:c r="C34" s="10"/>
      <x:c r="D34" s="13"/>
      <x:c r="E34" s="10"/>
      <x:c r="F34" s="10"/>
      <x:c r="G34" s="10"/>
      <x:c r="H34" s="10"/>
      <x:c r="I34" s="10"/>
      <x:c r="J34" s="12"/>
      <x:c r="K34" s="10"/>
      <x:c r="L34" s="12"/>
      <x:c r="M34" s="11" t="str">
        <x:f>IF(A34="",IF(C34="","","Falta ID"),IF(COUNTIFS($A$11:$A$210,A34)&gt;1,"ID duplicado",IF(AND(OR(H34="Contratado",H34="Implementación",H34="Entregado"),NOT(ISNUMBER(N34))),"Completar cierre",IF(H34="Entregado",IF(NOT(ISNUMBER(O34)),"Completar cierre","Cerrado"),IF(H34="Descartado",IF(P34="","Completar cierre","Cerrado"),IF(OR(C34="",D34="",E34="",F34="",G34="",H34="",I34="",K34="",L34="",B34=""),"Completar gestión",IF(NOT(ISNUMBER(L34)),"Revisar fecha",IF(L34&lt;TODAY(),"Vencido",IF(L34=TODAY(),"Hoy","Programado")))))))))</x:f>
      </x:c>
      <x:c r="N34" s="12"/>
      <x:c r="O34" s="12"/>
      <x:c r="P34" s="10"/>
      <x:c r="Q34" s="10"/>
    </x:row>
    <x:row r="35" ht="28" customHeight="1">
      <x:c r="A35" s="13"/>
      <x:c r="B35" s="12"/>
      <x:c r="C35" s="10"/>
      <x:c r="D35" s="13"/>
      <x:c r="E35" s="10"/>
      <x:c r="F35" s="10"/>
      <x:c r="G35" s="10"/>
      <x:c r="H35" s="10"/>
      <x:c r="I35" s="10"/>
      <x:c r="J35" s="12"/>
      <x:c r="K35" s="10"/>
      <x:c r="L35" s="12"/>
      <x:c r="M35" s="11" t="str">
        <x:f>IF(A35="",IF(C35="","","Falta ID"),IF(COUNTIFS($A$11:$A$210,A35)&gt;1,"ID duplicado",IF(AND(OR(H35="Contratado",H35="Implementación",H35="Entregado"),NOT(ISNUMBER(N35))),"Completar cierre",IF(H35="Entregado",IF(NOT(ISNUMBER(O35)),"Completar cierre","Cerrado"),IF(H35="Descartado",IF(P35="","Completar cierre","Cerrado"),IF(OR(C35="",D35="",E35="",F35="",G35="",H35="",I35="",K35="",L35="",B35=""),"Completar gestión",IF(NOT(ISNUMBER(L35)),"Revisar fecha",IF(L35&lt;TODAY(),"Vencido",IF(L35=TODAY(),"Hoy","Programado")))))))))</x:f>
      </x:c>
      <x:c r="N35" s="12"/>
      <x:c r="O35" s="12"/>
      <x:c r="P35" s="10"/>
      <x:c r="Q35" s="10"/>
    </x:row>
    <x:row r="36" ht="28" customHeight="1">
      <x:c r="A36" s="13"/>
      <x:c r="B36" s="12"/>
      <x:c r="C36" s="10"/>
      <x:c r="D36" s="13"/>
      <x:c r="E36" s="10"/>
      <x:c r="F36" s="10"/>
      <x:c r="G36" s="10"/>
      <x:c r="H36" s="10"/>
      <x:c r="I36" s="10"/>
      <x:c r="J36" s="12"/>
      <x:c r="K36" s="10"/>
      <x:c r="L36" s="12"/>
      <x:c r="M36" s="11" t="str">
        <x:f>IF(A36="",IF(C36="","","Falta ID"),IF(COUNTIFS($A$11:$A$210,A36)&gt;1,"ID duplicado",IF(AND(OR(H36="Contratado",H36="Implementación",H36="Entregado"),NOT(ISNUMBER(N36))),"Completar cierre",IF(H36="Entregado",IF(NOT(ISNUMBER(O36)),"Completar cierre","Cerrado"),IF(H36="Descartado",IF(P36="","Completar cierre","Cerrado"),IF(OR(C36="",D36="",E36="",F36="",G36="",H36="",I36="",K36="",L36="",B36=""),"Completar gestión",IF(NOT(ISNUMBER(L36)),"Revisar fecha",IF(L36&lt;TODAY(),"Vencido",IF(L36=TODAY(),"Hoy","Programado")))))))))</x:f>
      </x:c>
      <x:c r="N36" s="12"/>
      <x:c r="O36" s="12"/>
      <x:c r="P36" s="10"/>
      <x:c r="Q36" s="10"/>
    </x:row>
    <x:row r="37" ht="28" customHeight="1">
      <x:c r="A37" s="13"/>
      <x:c r="B37" s="12"/>
      <x:c r="C37" s="10"/>
      <x:c r="D37" s="13"/>
      <x:c r="E37" s="10"/>
      <x:c r="F37" s="10"/>
      <x:c r="G37" s="10"/>
      <x:c r="H37" s="10"/>
      <x:c r="I37" s="10"/>
      <x:c r="J37" s="12"/>
      <x:c r="K37" s="10"/>
      <x:c r="L37" s="12"/>
      <x:c r="M37" s="11" t="str">
        <x:f>IF(A37="",IF(C37="","","Falta ID"),IF(COUNTIFS($A$11:$A$210,A37)&gt;1,"ID duplicado",IF(AND(OR(H37="Contratado",H37="Implementación",H37="Entregado"),NOT(ISNUMBER(N37))),"Completar cierre",IF(H37="Entregado",IF(NOT(ISNUMBER(O37)),"Completar cierre","Cerrado"),IF(H37="Descartado",IF(P37="","Completar cierre","Cerrado"),IF(OR(C37="",D37="",E37="",F37="",G37="",H37="",I37="",K37="",L37="",B37=""),"Completar gestión",IF(NOT(ISNUMBER(L37)),"Revisar fecha",IF(L37&lt;TODAY(),"Vencido",IF(L37=TODAY(),"Hoy","Programado")))))))))</x:f>
      </x:c>
      <x:c r="N37" s="12"/>
      <x:c r="O37" s="12"/>
      <x:c r="P37" s="10"/>
      <x:c r="Q37" s="10"/>
    </x:row>
    <x:row r="38" ht="28" customHeight="1">
      <x:c r="A38" s="13"/>
      <x:c r="B38" s="12"/>
      <x:c r="C38" s="10"/>
      <x:c r="D38" s="13"/>
      <x:c r="E38" s="10"/>
      <x:c r="F38" s="10"/>
      <x:c r="G38" s="10"/>
      <x:c r="H38" s="10"/>
      <x:c r="I38" s="10"/>
      <x:c r="J38" s="12"/>
      <x:c r="K38" s="10"/>
      <x:c r="L38" s="12"/>
      <x:c r="M38" s="11" t="str">
        <x:f>IF(A38="",IF(C38="","","Falta ID"),IF(COUNTIFS($A$11:$A$210,A38)&gt;1,"ID duplicado",IF(AND(OR(H38="Contratado",H38="Implementación",H38="Entregado"),NOT(ISNUMBER(N38))),"Completar cierre",IF(H38="Entregado",IF(NOT(ISNUMBER(O38)),"Completar cierre","Cerrado"),IF(H38="Descartado",IF(P38="","Completar cierre","Cerrado"),IF(OR(C38="",D38="",E38="",F38="",G38="",H38="",I38="",K38="",L38="",B38=""),"Completar gestión",IF(NOT(ISNUMBER(L38)),"Revisar fecha",IF(L38&lt;TODAY(),"Vencido",IF(L38=TODAY(),"Hoy","Programado")))))))))</x:f>
      </x:c>
      <x:c r="N38" s="12"/>
      <x:c r="O38" s="12"/>
      <x:c r="P38" s="10"/>
      <x:c r="Q38" s="10"/>
    </x:row>
    <x:row r="39" ht="28" customHeight="1">
      <x:c r="A39" s="13"/>
      <x:c r="B39" s="12"/>
      <x:c r="C39" s="10"/>
      <x:c r="D39" s="13"/>
      <x:c r="E39" s="10"/>
      <x:c r="F39" s="10"/>
      <x:c r="G39" s="10"/>
      <x:c r="H39" s="10"/>
      <x:c r="I39" s="10"/>
      <x:c r="J39" s="12"/>
      <x:c r="K39" s="10"/>
      <x:c r="L39" s="12"/>
      <x:c r="M39" s="11" t="str">
        <x:f>IF(A39="",IF(C39="","","Falta ID"),IF(COUNTIFS($A$11:$A$210,A39)&gt;1,"ID duplicado",IF(AND(OR(H39="Contratado",H39="Implementación",H39="Entregado"),NOT(ISNUMBER(N39))),"Completar cierre",IF(H39="Entregado",IF(NOT(ISNUMBER(O39)),"Completar cierre","Cerrado"),IF(H39="Descartado",IF(P39="","Completar cierre","Cerrado"),IF(OR(C39="",D39="",E39="",F39="",G39="",H39="",I39="",K39="",L39="",B39=""),"Completar gestión",IF(NOT(ISNUMBER(L39)),"Revisar fecha",IF(L39&lt;TODAY(),"Vencido",IF(L39=TODAY(),"Hoy","Programado")))))))))</x:f>
      </x:c>
      <x:c r="N39" s="12"/>
      <x:c r="O39" s="12"/>
      <x:c r="P39" s="10"/>
      <x:c r="Q39" s="10"/>
    </x:row>
    <x:row r="40" ht="28" customHeight="1">
      <x:c r="A40" s="13"/>
      <x:c r="B40" s="12"/>
      <x:c r="C40" s="10"/>
      <x:c r="D40" s="13"/>
      <x:c r="E40" s="10"/>
      <x:c r="F40" s="10"/>
      <x:c r="G40" s="10"/>
      <x:c r="H40" s="10"/>
      <x:c r="I40" s="10"/>
      <x:c r="J40" s="12"/>
      <x:c r="K40" s="10"/>
      <x:c r="L40" s="12"/>
      <x:c r="M40" s="11" t="str">
        <x:f>IF(A40="",IF(C40="","","Falta ID"),IF(COUNTIFS($A$11:$A$210,A40)&gt;1,"ID duplicado",IF(AND(OR(H40="Contratado",H40="Implementación",H40="Entregado"),NOT(ISNUMBER(N40))),"Completar cierre",IF(H40="Entregado",IF(NOT(ISNUMBER(O40)),"Completar cierre","Cerrado"),IF(H40="Descartado",IF(P40="","Completar cierre","Cerrado"),IF(OR(C40="",D40="",E40="",F40="",G40="",H40="",I40="",K40="",L40="",B40=""),"Completar gestión",IF(NOT(ISNUMBER(L40)),"Revisar fecha",IF(L40&lt;TODAY(),"Vencido",IF(L40=TODAY(),"Hoy","Programado")))))))))</x:f>
      </x:c>
      <x:c r="N40" s="12"/>
      <x:c r="O40" s="12"/>
      <x:c r="P40" s="10"/>
      <x:c r="Q40" s="10"/>
    </x:row>
    <x:row r="41" ht="28" customHeight="1">
      <x:c r="A41" s="13"/>
      <x:c r="B41" s="12"/>
      <x:c r="C41" s="10"/>
      <x:c r="D41" s="13"/>
      <x:c r="E41" s="10"/>
      <x:c r="F41" s="10"/>
      <x:c r="G41" s="10"/>
      <x:c r="H41" s="10"/>
      <x:c r="I41" s="10"/>
      <x:c r="J41" s="12"/>
      <x:c r="K41" s="10"/>
      <x:c r="L41" s="12"/>
      <x:c r="M41" s="11" t="str">
        <x:f>IF(A41="",IF(C41="","","Falta ID"),IF(COUNTIFS($A$11:$A$210,A41)&gt;1,"ID duplicado",IF(AND(OR(H41="Contratado",H41="Implementación",H41="Entregado"),NOT(ISNUMBER(N41))),"Completar cierre",IF(H41="Entregado",IF(NOT(ISNUMBER(O41)),"Completar cierre","Cerrado"),IF(H41="Descartado",IF(P41="","Completar cierre","Cerrado"),IF(OR(C41="",D41="",E41="",F41="",G41="",H41="",I41="",K41="",L41="",B41=""),"Completar gestión",IF(NOT(ISNUMBER(L41)),"Revisar fecha",IF(L41&lt;TODAY(),"Vencido",IF(L41=TODAY(),"Hoy","Programado")))))))))</x:f>
      </x:c>
      <x:c r="N41" s="12"/>
      <x:c r="O41" s="12"/>
      <x:c r="P41" s="10"/>
      <x:c r="Q41" s="10"/>
    </x:row>
    <x:row r="42" ht="28" customHeight="1">
      <x:c r="A42" s="13"/>
      <x:c r="B42" s="12"/>
      <x:c r="C42" s="10"/>
      <x:c r="D42" s="13"/>
      <x:c r="E42" s="10"/>
      <x:c r="F42" s="10"/>
      <x:c r="G42" s="10"/>
      <x:c r="H42" s="10"/>
      <x:c r="I42" s="10"/>
      <x:c r="J42" s="12"/>
      <x:c r="K42" s="10"/>
      <x:c r="L42" s="12"/>
      <x:c r="M42" s="11" t="str">
        <x:f>IF(A42="",IF(C42="","","Falta ID"),IF(COUNTIFS($A$11:$A$210,A42)&gt;1,"ID duplicado",IF(AND(OR(H42="Contratado",H42="Implementación",H42="Entregado"),NOT(ISNUMBER(N42))),"Completar cierre",IF(H42="Entregado",IF(NOT(ISNUMBER(O42)),"Completar cierre","Cerrado"),IF(H42="Descartado",IF(P42="","Completar cierre","Cerrado"),IF(OR(C42="",D42="",E42="",F42="",G42="",H42="",I42="",K42="",L42="",B42=""),"Completar gestión",IF(NOT(ISNUMBER(L42)),"Revisar fecha",IF(L42&lt;TODAY(),"Vencido",IF(L42=TODAY(),"Hoy","Programado")))))))))</x:f>
      </x:c>
      <x:c r="N42" s="12"/>
      <x:c r="O42" s="12"/>
      <x:c r="P42" s="10"/>
      <x:c r="Q42" s="10"/>
    </x:row>
    <x:row r="43" ht="28" customHeight="1">
      <x:c r="A43" s="13"/>
      <x:c r="B43" s="12"/>
      <x:c r="C43" s="10"/>
      <x:c r="D43" s="13"/>
      <x:c r="E43" s="10"/>
      <x:c r="F43" s="10"/>
      <x:c r="G43" s="10"/>
      <x:c r="H43" s="10"/>
      <x:c r="I43" s="10"/>
      <x:c r="J43" s="12"/>
      <x:c r="K43" s="10"/>
      <x:c r="L43" s="12"/>
      <x:c r="M43" s="11" t="str">
        <x:f>IF(A43="",IF(C43="","","Falta ID"),IF(COUNTIFS($A$11:$A$210,A43)&gt;1,"ID duplicado",IF(AND(OR(H43="Contratado",H43="Implementación",H43="Entregado"),NOT(ISNUMBER(N43))),"Completar cierre",IF(H43="Entregado",IF(NOT(ISNUMBER(O43)),"Completar cierre","Cerrado"),IF(H43="Descartado",IF(P43="","Completar cierre","Cerrado"),IF(OR(C43="",D43="",E43="",F43="",G43="",H43="",I43="",K43="",L43="",B43=""),"Completar gestión",IF(NOT(ISNUMBER(L43)),"Revisar fecha",IF(L43&lt;TODAY(),"Vencido",IF(L43=TODAY(),"Hoy","Programado")))))))))</x:f>
      </x:c>
      <x:c r="N43" s="12"/>
      <x:c r="O43" s="12"/>
      <x:c r="P43" s="10"/>
      <x:c r="Q43" s="10"/>
    </x:row>
    <x:row r="44" ht="28" customHeight="1">
      <x:c r="A44" s="13"/>
      <x:c r="B44" s="12"/>
      <x:c r="C44" s="10"/>
      <x:c r="D44" s="13"/>
      <x:c r="E44" s="10"/>
      <x:c r="F44" s="10"/>
      <x:c r="G44" s="10"/>
      <x:c r="H44" s="10"/>
      <x:c r="I44" s="10"/>
      <x:c r="J44" s="12"/>
      <x:c r="K44" s="10"/>
      <x:c r="L44" s="12"/>
      <x:c r="M44" s="11" t="str">
        <x:f>IF(A44="",IF(C44="","","Falta ID"),IF(COUNTIFS($A$11:$A$210,A44)&gt;1,"ID duplicado",IF(AND(OR(H44="Contratado",H44="Implementación",H44="Entregado"),NOT(ISNUMBER(N44))),"Completar cierre",IF(H44="Entregado",IF(NOT(ISNUMBER(O44)),"Completar cierre","Cerrado"),IF(H44="Descartado",IF(P44="","Completar cierre","Cerrado"),IF(OR(C44="",D44="",E44="",F44="",G44="",H44="",I44="",K44="",L44="",B44=""),"Completar gestión",IF(NOT(ISNUMBER(L44)),"Revisar fecha",IF(L44&lt;TODAY(),"Vencido",IF(L44=TODAY(),"Hoy","Programado")))))))))</x:f>
      </x:c>
      <x:c r="N44" s="12"/>
      <x:c r="O44" s="12"/>
      <x:c r="P44" s="10"/>
      <x:c r="Q44" s="10"/>
    </x:row>
    <x:row r="45" ht="28" customHeight="1">
      <x:c r="A45" s="13"/>
      <x:c r="B45" s="12"/>
      <x:c r="C45" s="10"/>
      <x:c r="D45" s="13"/>
      <x:c r="E45" s="10"/>
      <x:c r="F45" s="10"/>
      <x:c r="G45" s="10"/>
      <x:c r="H45" s="10"/>
      <x:c r="I45" s="10"/>
      <x:c r="J45" s="12"/>
      <x:c r="K45" s="10"/>
      <x:c r="L45" s="12"/>
      <x:c r="M45" s="11" t="str">
        <x:f>IF(A45="",IF(C45="","","Falta ID"),IF(COUNTIFS($A$11:$A$210,A45)&gt;1,"ID duplicado",IF(AND(OR(H45="Contratado",H45="Implementación",H45="Entregado"),NOT(ISNUMBER(N45))),"Completar cierre",IF(H45="Entregado",IF(NOT(ISNUMBER(O45)),"Completar cierre","Cerrado"),IF(H45="Descartado",IF(P45="","Completar cierre","Cerrado"),IF(OR(C45="",D45="",E45="",F45="",G45="",H45="",I45="",K45="",L45="",B45=""),"Completar gestión",IF(NOT(ISNUMBER(L45)),"Revisar fecha",IF(L45&lt;TODAY(),"Vencido",IF(L45=TODAY(),"Hoy","Programado")))))))))</x:f>
      </x:c>
      <x:c r="N45" s="12"/>
      <x:c r="O45" s="12"/>
      <x:c r="P45" s="10"/>
      <x:c r="Q45" s="10"/>
    </x:row>
    <x:row r="46" ht="28" customHeight="1">
      <x:c r="A46" s="13"/>
      <x:c r="B46" s="12"/>
      <x:c r="C46" s="10"/>
      <x:c r="D46" s="13"/>
      <x:c r="E46" s="10"/>
      <x:c r="F46" s="10"/>
      <x:c r="G46" s="10"/>
      <x:c r="H46" s="10"/>
      <x:c r="I46" s="10"/>
      <x:c r="J46" s="12"/>
      <x:c r="K46" s="10"/>
      <x:c r="L46" s="12"/>
      <x:c r="M46" s="11" t="str">
        <x:f>IF(A46="",IF(C46="","","Falta ID"),IF(COUNTIFS($A$11:$A$210,A46)&gt;1,"ID duplicado",IF(AND(OR(H46="Contratado",H46="Implementación",H46="Entregado"),NOT(ISNUMBER(N46))),"Completar cierre",IF(H46="Entregado",IF(NOT(ISNUMBER(O46)),"Completar cierre","Cerrado"),IF(H46="Descartado",IF(P46="","Completar cierre","Cerrado"),IF(OR(C46="",D46="",E46="",F46="",G46="",H46="",I46="",K46="",L46="",B46=""),"Completar gestión",IF(NOT(ISNUMBER(L46)),"Revisar fecha",IF(L46&lt;TODAY(),"Vencido",IF(L46=TODAY(),"Hoy","Programado")))))))))</x:f>
      </x:c>
      <x:c r="N46" s="12"/>
      <x:c r="O46" s="12"/>
      <x:c r="P46" s="10"/>
      <x:c r="Q46" s="10"/>
    </x:row>
    <x:row r="47" ht="28" customHeight="1">
      <x:c r="A47" s="13"/>
      <x:c r="B47" s="12"/>
      <x:c r="C47" s="10"/>
      <x:c r="D47" s="13"/>
      <x:c r="E47" s="10"/>
      <x:c r="F47" s="10"/>
      <x:c r="G47" s="10"/>
      <x:c r="H47" s="10"/>
      <x:c r="I47" s="10"/>
      <x:c r="J47" s="12"/>
      <x:c r="K47" s="10"/>
      <x:c r="L47" s="12"/>
      <x:c r="M47" s="11" t="str">
        <x:f>IF(A47="",IF(C47="","","Falta ID"),IF(COUNTIFS($A$11:$A$210,A47)&gt;1,"ID duplicado",IF(AND(OR(H47="Contratado",H47="Implementación",H47="Entregado"),NOT(ISNUMBER(N47))),"Completar cierre",IF(H47="Entregado",IF(NOT(ISNUMBER(O47)),"Completar cierre","Cerrado"),IF(H47="Descartado",IF(P47="","Completar cierre","Cerrado"),IF(OR(C47="",D47="",E47="",F47="",G47="",H47="",I47="",K47="",L47="",B47=""),"Completar gestión",IF(NOT(ISNUMBER(L47)),"Revisar fecha",IF(L47&lt;TODAY(),"Vencido",IF(L47=TODAY(),"Hoy","Programado")))))))))</x:f>
      </x:c>
      <x:c r="N47" s="12"/>
      <x:c r="O47" s="12"/>
      <x:c r="P47" s="10"/>
      <x:c r="Q47" s="10"/>
    </x:row>
    <x:row r="48" ht="28" customHeight="1">
      <x:c r="A48" s="13"/>
      <x:c r="B48" s="12"/>
      <x:c r="C48" s="10"/>
      <x:c r="D48" s="13"/>
      <x:c r="E48" s="10"/>
      <x:c r="F48" s="10"/>
      <x:c r="G48" s="10"/>
      <x:c r="H48" s="10"/>
      <x:c r="I48" s="10"/>
      <x:c r="J48" s="12"/>
      <x:c r="K48" s="10"/>
      <x:c r="L48" s="12"/>
      <x:c r="M48" s="11" t="str">
        <x:f>IF(A48="",IF(C48="","","Falta ID"),IF(COUNTIFS($A$11:$A$210,A48)&gt;1,"ID duplicado",IF(AND(OR(H48="Contratado",H48="Implementación",H48="Entregado"),NOT(ISNUMBER(N48))),"Completar cierre",IF(H48="Entregado",IF(NOT(ISNUMBER(O48)),"Completar cierre","Cerrado"),IF(H48="Descartado",IF(P48="","Completar cierre","Cerrado"),IF(OR(C48="",D48="",E48="",F48="",G48="",H48="",I48="",K48="",L48="",B48=""),"Completar gestión",IF(NOT(ISNUMBER(L48)),"Revisar fecha",IF(L48&lt;TODAY(),"Vencido",IF(L48=TODAY(),"Hoy","Programado")))))))))</x:f>
      </x:c>
      <x:c r="N48" s="12"/>
      <x:c r="O48" s="12"/>
      <x:c r="P48" s="10"/>
      <x:c r="Q48" s="10"/>
    </x:row>
    <x:row r="49" ht="28" customHeight="1">
      <x:c r="A49" s="13"/>
      <x:c r="B49" s="12"/>
      <x:c r="C49" s="10"/>
      <x:c r="D49" s="13"/>
      <x:c r="E49" s="10"/>
      <x:c r="F49" s="10"/>
      <x:c r="G49" s="10"/>
      <x:c r="H49" s="10"/>
      <x:c r="I49" s="10"/>
      <x:c r="J49" s="12"/>
      <x:c r="K49" s="10"/>
      <x:c r="L49" s="12"/>
      <x:c r="M49" s="11" t="str">
        <x:f>IF(A49="",IF(C49="","","Falta ID"),IF(COUNTIFS($A$11:$A$210,A49)&gt;1,"ID duplicado",IF(AND(OR(H49="Contratado",H49="Implementación",H49="Entregado"),NOT(ISNUMBER(N49))),"Completar cierre",IF(H49="Entregado",IF(NOT(ISNUMBER(O49)),"Completar cierre","Cerrado"),IF(H49="Descartado",IF(P49="","Completar cierre","Cerrado"),IF(OR(C49="",D49="",E49="",F49="",G49="",H49="",I49="",K49="",L49="",B49=""),"Completar gestión",IF(NOT(ISNUMBER(L49)),"Revisar fecha",IF(L49&lt;TODAY(),"Vencido",IF(L49=TODAY(),"Hoy","Programado")))))))))</x:f>
      </x:c>
      <x:c r="N49" s="12"/>
      <x:c r="O49" s="12"/>
      <x:c r="P49" s="10"/>
      <x:c r="Q49" s="10"/>
    </x:row>
    <x:row r="50" ht="28" customHeight="1">
      <x:c r="A50" s="13"/>
      <x:c r="B50" s="12"/>
      <x:c r="C50" s="10"/>
      <x:c r="D50" s="13"/>
      <x:c r="E50" s="10"/>
      <x:c r="F50" s="10"/>
      <x:c r="G50" s="10"/>
      <x:c r="H50" s="10"/>
      <x:c r="I50" s="10"/>
      <x:c r="J50" s="12"/>
      <x:c r="K50" s="10"/>
      <x:c r="L50" s="12"/>
      <x:c r="M50" s="11" t="str">
        <x:f>IF(A50="",IF(C50="","","Falta ID"),IF(COUNTIFS($A$11:$A$210,A50)&gt;1,"ID duplicado",IF(AND(OR(H50="Contratado",H50="Implementación",H50="Entregado"),NOT(ISNUMBER(N50))),"Completar cierre",IF(H50="Entregado",IF(NOT(ISNUMBER(O50)),"Completar cierre","Cerrado"),IF(H50="Descartado",IF(P50="","Completar cierre","Cerrado"),IF(OR(C50="",D50="",E50="",F50="",G50="",H50="",I50="",K50="",L50="",B50=""),"Completar gestión",IF(NOT(ISNUMBER(L50)),"Revisar fecha",IF(L50&lt;TODAY(),"Vencido",IF(L50=TODAY(),"Hoy","Programado")))))))))</x:f>
      </x:c>
      <x:c r="N50" s="12"/>
      <x:c r="O50" s="12"/>
      <x:c r="P50" s="10"/>
      <x:c r="Q50" s="10"/>
    </x:row>
    <x:row r="51" ht="28" customHeight="1">
      <x:c r="A51" s="13"/>
      <x:c r="B51" s="12"/>
      <x:c r="C51" s="10"/>
      <x:c r="D51" s="13"/>
      <x:c r="E51" s="10"/>
      <x:c r="F51" s="10"/>
      <x:c r="G51" s="10"/>
      <x:c r="H51" s="10"/>
      <x:c r="I51" s="10"/>
      <x:c r="J51" s="12"/>
      <x:c r="K51" s="10"/>
      <x:c r="L51" s="12"/>
      <x:c r="M51" s="11" t="str">
        <x:f>IF(A51="",IF(C51="","","Falta ID"),IF(COUNTIFS($A$11:$A$210,A51)&gt;1,"ID duplicado",IF(AND(OR(H51="Contratado",H51="Implementación",H51="Entregado"),NOT(ISNUMBER(N51))),"Completar cierre",IF(H51="Entregado",IF(NOT(ISNUMBER(O51)),"Completar cierre","Cerrado"),IF(H51="Descartado",IF(P51="","Completar cierre","Cerrado"),IF(OR(C51="",D51="",E51="",F51="",G51="",H51="",I51="",K51="",L51="",B51=""),"Completar gestión",IF(NOT(ISNUMBER(L51)),"Revisar fecha",IF(L51&lt;TODAY(),"Vencido",IF(L51=TODAY(),"Hoy","Programado")))))))))</x:f>
      </x:c>
      <x:c r="N51" s="12"/>
      <x:c r="O51" s="12"/>
      <x:c r="P51" s="10"/>
      <x:c r="Q51" s="10"/>
    </x:row>
    <x:row r="52" ht="28" customHeight="1">
      <x:c r="A52" s="13"/>
      <x:c r="B52" s="12"/>
      <x:c r="C52" s="10"/>
      <x:c r="D52" s="13"/>
      <x:c r="E52" s="10"/>
      <x:c r="F52" s="10"/>
      <x:c r="G52" s="10"/>
      <x:c r="H52" s="10"/>
      <x:c r="I52" s="10"/>
      <x:c r="J52" s="12"/>
      <x:c r="K52" s="10"/>
      <x:c r="L52" s="12"/>
      <x:c r="M52" s="11" t="str">
        <x:f>IF(A52="",IF(C52="","","Falta ID"),IF(COUNTIFS($A$11:$A$210,A52)&gt;1,"ID duplicado",IF(AND(OR(H52="Contratado",H52="Implementación",H52="Entregado"),NOT(ISNUMBER(N52))),"Completar cierre",IF(H52="Entregado",IF(NOT(ISNUMBER(O52)),"Completar cierre","Cerrado"),IF(H52="Descartado",IF(P52="","Completar cierre","Cerrado"),IF(OR(C52="",D52="",E52="",F52="",G52="",H52="",I52="",K52="",L52="",B52=""),"Completar gestión",IF(NOT(ISNUMBER(L52)),"Revisar fecha",IF(L52&lt;TODAY(),"Vencido",IF(L52=TODAY(),"Hoy","Programado")))))))))</x:f>
      </x:c>
      <x:c r="N52" s="12"/>
      <x:c r="O52" s="12"/>
      <x:c r="P52" s="10"/>
      <x:c r="Q52" s="10"/>
    </x:row>
    <x:row r="53" ht="28" customHeight="1">
      <x:c r="A53" s="13"/>
      <x:c r="B53" s="12"/>
      <x:c r="C53" s="10"/>
      <x:c r="D53" s="13"/>
      <x:c r="E53" s="10"/>
      <x:c r="F53" s="10"/>
      <x:c r="G53" s="10"/>
      <x:c r="H53" s="10"/>
      <x:c r="I53" s="10"/>
      <x:c r="J53" s="12"/>
      <x:c r="K53" s="10"/>
      <x:c r="L53" s="12"/>
      <x:c r="M53" s="11" t="str">
        <x:f>IF(A53="",IF(C53="","","Falta ID"),IF(COUNTIFS($A$11:$A$210,A53)&gt;1,"ID duplicado",IF(AND(OR(H53="Contratado",H53="Implementación",H53="Entregado"),NOT(ISNUMBER(N53))),"Completar cierre",IF(H53="Entregado",IF(NOT(ISNUMBER(O53)),"Completar cierre","Cerrado"),IF(H53="Descartado",IF(P53="","Completar cierre","Cerrado"),IF(OR(C53="",D53="",E53="",F53="",G53="",H53="",I53="",K53="",L53="",B53=""),"Completar gestión",IF(NOT(ISNUMBER(L53)),"Revisar fecha",IF(L53&lt;TODAY(),"Vencido",IF(L53=TODAY(),"Hoy","Programado")))))))))</x:f>
      </x:c>
      <x:c r="N53" s="12"/>
      <x:c r="O53" s="12"/>
      <x:c r="P53" s="10"/>
      <x:c r="Q53" s="10"/>
    </x:row>
    <x:row r="54" ht="28" customHeight="1">
      <x:c r="A54" s="13"/>
      <x:c r="B54" s="12"/>
      <x:c r="C54" s="10"/>
      <x:c r="D54" s="13"/>
      <x:c r="E54" s="10"/>
      <x:c r="F54" s="10"/>
      <x:c r="G54" s="10"/>
      <x:c r="H54" s="10"/>
      <x:c r="I54" s="10"/>
      <x:c r="J54" s="12"/>
      <x:c r="K54" s="10"/>
      <x:c r="L54" s="12"/>
      <x:c r="M54" s="11" t="str">
        <x:f>IF(A54="",IF(C54="","","Falta ID"),IF(COUNTIFS($A$11:$A$210,A54)&gt;1,"ID duplicado",IF(AND(OR(H54="Contratado",H54="Implementación",H54="Entregado"),NOT(ISNUMBER(N54))),"Completar cierre",IF(H54="Entregado",IF(NOT(ISNUMBER(O54)),"Completar cierre","Cerrado"),IF(H54="Descartado",IF(P54="","Completar cierre","Cerrado"),IF(OR(C54="",D54="",E54="",F54="",G54="",H54="",I54="",K54="",L54="",B54=""),"Completar gestión",IF(NOT(ISNUMBER(L54)),"Revisar fecha",IF(L54&lt;TODAY(),"Vencido",IF(L54=TODAY(),"Hoy","Programado")))))))))</x:f>
      </x:c>
      <x:c r="N54" s="12"/>
      <x:c r="O54" s="12"/>
      <x:c r="P54" s="10"/>
      <x:c r="Q54" s="10"/>
    </x:row>
    <x:row r="55" ht="28" customHeight="1">
      <x:c r="A55" s="13"/>
      <x:c r="B55" s="12"/>
      <x:c r="C55" s="10"/>
      <x:c r="D55" s="13"/>
      <x:c r="E55" s="10"/>
      <x:c r="F55" s="10"/>
      <x:c r="G55" s="10"/>
      <x:c r="H55" s="10"/>
      <x:c r="I55" s="10"/>
      <x:c r="J55" s="12"/>
      <x:c r="K55" s="10"/>
      <x:c r="L55" s="12"/>
      <x:c r="M55" s="11" t="str">
        <x:f>IF(A55="",IF(C55="","","Falta ID"),IF(COUNTIFS($A$11:$A$210,A55)&gt;1,"ID duplicado",IF(AND(OR(H55="Contratado",H55="Implementación",H55="Entregado"),NOT(ISNUMBER(N55))),"Completar cierre",IF(H55="Entregado",IF(NOT(ISNUMBER(O55)),"Completar cierre","Cerrado"),IF(H55="Descartado",IF(P55="","Completar cierre","Cerrado"),IF(OR(C55="",D55="",E55="",F55="",G55="",H55="",I55="",K55="",L55="",B55=""),"Completar gestión",IF(NOT(ISNUMBER(L55)),"Revisar fecha",IF(L55&lt;TODAY(),"Vencido",IF(L55=TODAY(),"Hoy","Programado")))))))))</x:f>
      </x:c>
      <x:c r="N55" s="12"/>
      <x:c r="O55" s="12"/>
      <x:c r="P55" s="10"/>
      <x:c r="Q55" s="10"/>
    </x:row>
    <x:row r="56" ht="28" customHeight="1">
      <x:c r="A56" s="13"/>
      <x:c r="B56" s="12"/>
      <x:c r="C56" s="10"/>
      <x:c r="D56" s="13"/>
      <x:c r="E56" s="10"/>
      <x:c r="F56" s="10"/>
      <x:c r="G56" s="10"/>
      <x:c r="H56" s="10"/>
      <x:c r="I56" s="10"/>
      <x:c r="J56" s="12"/>
      <x:c r="K56" s="10"/>
      <x:c r="L56" s="12"/>
      <x:c r="M56" s="11" t="str">
        <x:f>IF(A56="",IF(C56="","","Falta ID"),IF(COUNTIFS($A$11:$A$210,A56)&gt;1,"ID duplicado",IF(AND(OR(H56="Contratado",H56="Implementación",H56="Entregado"),NOT(ISNUMBER(N56))),"Completar cierre",IF(H56="Entregado",IF(NOT(ISNUMBER(O56)),"Completar cierre","Cerrado"),IF(H56="Descartado",IF(P56="","Completar cierre","Cerrado"),IF(OR(C56="",D56="",E56="",F56="",G56="",H56="",I56="",K56="",L56="",B56=""),"Completar gestión",IF(NOT(ISNUMBER(L56)),"Revisar fecha",IF(L56&lt;TODAY(),"Vencido",IF(L56=TODAY(),"Hoy","Programado")))))))))</x:f>
      </x:c>
      <x:c r="N56" s="12"/>
      <x:c r="O56" s="12"/>
      <x:c r="P56" s="10"/>
      <x:c r="Q56" s="10"/>
    </x:row>
    <x:row r="57" ht="28" customHeight="1">
      <x:c r="A57" s="13"/>
      <x:c r="B57" s="12"/>
      <x:c r="C57" s="10"/>
      <x:c r="D57" s="13"/>
      <x:c r="E57" s="10"/>
      <x:c r="F57" s="10"/>
      <x:c r="G57" s="10"/>
      <x:c r="H57" s="10"/>
      <x:c r="I57" s="10"/>
      <x:c r="J57" s="12"/>
      <x:c r="K57" s="10"/>
      <x:c r="L57" s="12"/>
      <x:c r="M57" s="11" t="str">
        <x:f>IF(A57="",IF(C57="","","Falta ID"),IF(COUNTIFS($A$11:$A$210,A57)&gt;1,"ID duplicado",IF(AND(OR(H57="Contratado",H57="Implementación",H57="Entregado"),NOT(ISNUMBER(N57))),"Completar cierre",IF(H57="Entregado",IF(NOT(ISNUMBER(O57)),"Completar cierre","Cerrado"),IF(H57="Descartado",IF(P57="","Completar cierre","Cerrado"),IF(OR(C57="",D57="",E57="",F57="",G57="",H57="",I57="",K57="",L57="",B57=""),"Completar gestión",IF(NOT(ISNUMBER(L57)),"Revisar fecha",IF(L57&lt;TODAY(),"Vencido",IF(L57=TODAY(),"Hoy","Programado")))))))))</x:f>
      </x:c>
      <x:c r="N57" s="12"/>
      <x:c r="O57" s="12"/>
      <x:c r="P57" s="10"/>
      <x:c r="Q57" s="10"/>
    </x:row>
    <x:row r="58" ht="28" customHeight="1">
      <x:c r="A58" s="13"/>
      <x:c r="B58" s="12"/>
      <x:c r="C58" s="10"/>
      <x:c r="D58" s="13"/>
      <x:c r="E58" s="10"/>
      <x:c r="F58" s="10"/>
      <x:c r="G58" s="10"/>
      <x:c r="H58" s="10"/>
      <x:c r="I58" s="10"/>
      <x:c r="J58" s="12"/>
      <x:c r="K58" s="10"/>
      <x:c r="L58" s="12"/>
      <x:c r="M58" s="11" t="str">
        <x:f>IF(A58="",IF(C58="","","Falta ID"),IF(COUNTIFS($A$11:$A$210,A58)&gt;1,"ID duplicado",IF(AND(OR(H58="Contratado",H58="Implementación",H58="Entregado"),NOT(ISNUMBER(N58))),"Completar cierre",IF(H58="Entregado",IF(NOT(ISNUMBER(O58)),"Completar cierre","Cerrado"),IF(H58="Descartado",IF(P58="","Completar cierre","Cerrado"),IF(OR(C58="",D58="",E58="",F58="",G58="",H58="",I58="",K58="",L58="",B58=""),"Completar gestión",IF(NOT(ISNUMBER(L58)),"Revisar fecha",IF(L58&lt;TODAY(),"Vencido",IF(L58=TODAY(),"Hoy","Programado")))))))))</x:f>
      </x:c>
      <x:c r="N58" s="12"/>
      <x:c r="O58" s="12"/>
      <x:c r="P58" s="10"/>
      <x:c r="Q58" s="10"/>
    </x:row>
    <x:row r="59" ht="28" customHeight="1">
      <x:c r="A59" s="13"/>
      <x:c r="B59" s="12"/>
      <x:c r="C59" s="10"/>
      <x:c r="D59" s="13"/>
      <x:c r="E59" s="10"/>
      <x:c r="F59" s="10"/>
      <x:c r="G59" s="10"/>
      <x:c r="H59" s="10"/>
      <x:c r="I59" s="10"/>
      <x:c r="J59" s="12"/>
      <x:c r="K59" s="10"/>
      <x:c r="L59" s="12"/>
      <x:c r="M59" s="11" t="str">
        <x:f>IF(A59="",IF(C59="","","Falta ID"),IF(COUNTIFS($A$11:$A$210,A59)&gt;1,"ID duplicado",IF(AND(OR(H59="Contratado",H59="Implementación",H59="Entregado"),NOT(ISNUMBER(N59))),"Completar cierre",IF(H59="Entregado",IF(NOT(ISNUMBER(O59)),"Completar cierre","Cerrado"),IF(H59="Descartado",IF(P59="","Completar cierre","Cerrado"),IF(OR(C59="",D59="",E59="",F59="",G59="",H59="",I59="",K59="",L59="",B59=""),"Completar gestión",IF(NOT(ISNUMBER(L59)),"Revisar fecha",IF(L59&lt;TODAY(),"Vencido",IF(L59=TODAY(),"Hoy","Programado")))))))))</x:f>
      </x:c>
      <x:c r="N59" s="12"/>
      <x:c r="O59" s="12"/>
      <x:c r="P59" s="10"/>
      <x:c r="Q59" s="10"/>
    </x:row>
    <x:row r="60" ht="28" customHeight="1">
      <x:c r="A60" s="13"/>
      <x:c r="B60" s="12"/>
      <x:c r="C60" s="10"/>
      <x:c r="D60" s="13"/>
      <x:c r="E60" s="10"/>
      <x:c r="F60" s="10"/>
      <x:c r="G60" s="10"/>
      <x:c r="H60" s="10"/>
      <x:c r="I60" s="10"/>
      <x:c r="J60" s="12"/>
      <x:c r="K60" s="10"/>
      <x:c r="L60" s="12"/>
      <x:c r="M60" s="11" t="str">
        <x:f>IF(A60="",IF(C60="","","Falta ID"),IF(COUNTIFS($A$11:$A$210,A60)&gt;1,"ID duplicado",IF(AND(OR(H60="Contratado",H60="Implementación",H60="Entregado"),NOT(ISNUMBER(N60))),"Completar cierre",IF(H60="Entregado",IF(NOT(ISNUMBER(O60)),"Completar cierre","Cerrado"),IF(H60="Descartado",IF(P60="","Completar cierre","Cerrado"),IF(OR(C60="",D60="",E60="",F60="",G60="",H60="",I60="",K60="",L60="",B60=""),"Completar gestión",IF(NOT(ISNUMBER(L60)),"Revisar fecha",IF(L60&lt;TODAY(),"Vencido",IF(L60=TODAY(),"Hoy","Programado")))))))))</x:f>
      </x:c>
      <x:c r="N60" s="12"/>
      <x:c r="O60" s="12"/>
      <x:c r="P60" s="10"/>
      <x:c r="Q60" s="10"/>
    </x:row>
    <x:row r="61" ht="28" customHeight="1">
      <x:c r="A61" s="13"/>
      <x:c r="B61" s="12"/>
      <x:c r="C61" s="10"/>
      <x:c r="D61" s="13"/>
      <x:c r="E61" s="10"/>
      <x:c r="F61" s="10"/>
      <x:c r="G61" s="10"/>
      <x:c r="H61" s="10"/>
      <x:c r="I61" s="10"/>
      <x:c r="J61" s="12"/>
      <x:c r="K61" s="10"/>
      <x:c r="L61" s="12"/>
      <x:c r="M61" s="11" t="str">
        <x:f>IF(A61="",IF(C61="","","Falta ID"),IF(COUNTIFS($A$11:$A$210,A61)&gt;1,"ID duplicado",IF(AND(OR(H61="Contratado",H61="Implementación",H61="Entregado"),NOT(ISNUMBER(N61))),"Completar cierre",IF(H61="Entregado",IF(NOT(ISNUMBER(O61)),"Completar cierre","Cerrado"),IF(H61="Descartado",IF(P61="","Completar cierre","Cerrado"),IF(OR(C61="",D61="",E61="",F61="",G61="",H61="",I61="",K61="",L61="",B61=""),"Completar gestión",IF(NOT(ISNUMBER(L61)),"Revisar fecha",IF(L61&lt;TODAY(),"Vencido",IF(L61=TODAY(),"Hoy","Programado")))))))))</x:f>
      </x:c>
      <x:c r="N61" s="12"/>
      <x:c r="O61" s="12"/>
      <x:c r="P61" s="10"/>
      <x:c r="Q61" s="10"/>
    </x:row>
    <x:row r="62" ht="28" customHeight="1">
      <x:c r="A62" s="13"/>
      <x:c r="B62" s="12"/>
      <x:c r="C62" s="10"/>
      <x:c r="D62" s="13"/>
      <x:c r="E62" s="10"/>
      <x:c r="F62" s="10"/>
      <x:c r="G62" s="10"/>
      <x:c r="H62" s="10"/>
      <x:c r="I62" s="10"/>
      <x:c r="J62" s="12"/>
      <x:c r="K62" s="10"/>
      <x:c r="L62" s="12"/>
      <x:c r="M62" s="11" t="str">
        <x:f>IF(A62="",IF(C62="","","Falta ID"),IF(COUNTIFS($A$11:$A$210,A62)&gt;1,"ID duplicado",IF(AND(OR(H62="Contratado",H62="Implementación",H62="Entregado"),NOT(ISNUMBER(N62))),"Completar cierre",IF(H62="Entregado",IF(NOT(ISNUMBER(O62)),"Completar cierre","Cerrado"),IF(H62="Descartado",IF(P62="","Completar cierre","Cerrado"),IF(OR(C62="",D62="",E62="",F62="",G62="",H62="",I62="",K62="",L62="",B62=""),"Completar gestión",IF(NOT(ISNUMBER(L62)),"Revisar fecha",IF(L62&lt;TODAY(),"Vencido",IF(L62=TODAY(),"Hoy","Programado")))))))))</x:f>
      </x:c>
      <x:c r="N62" s="12"/>
      <x:c r="O62" s="12"/>
      <x:c r="P62" s="10"/>
      <x:c r="Q62" s="10"/>
    </x:row>
    <x:row r="63" ht="28" customHeight="1">
      <x:c r="A63" s="13"/>
      <x:c r="B63" s="12"/>
      <x:c r="C63" s="10"/>
      <x:c r="D63" s="13"/>
      <x:c r="E63" s="10"/>
      <x:c r="F63" s="10"/>
      <x:c r="G63" s="10"/>
      <x:c r="H63" s="10"/>
      <x:c r="I63" s="10"/>
      <x:c r="J63" s="12"/>
      <x:c r="K63" s="10"/>
      <x:c r="L63" s="12"/>
      <x:c r="M63" s="11" t="str">
        <x:f>IF(A63="",IF(C63="","","Falta ID"),IF(COUNTIFS($A$11:$A$210,A63)&gt;1,"ID duplicado",IF(AND(OR(H63="Contratado",H63="Implementación",H63="Entregado"),NOT(ISNUMBER(N63))),"Completar cierre",IF(H63="Entregado",IF(NOT(ISNUMBER(O63)),"Completar cierre","Cerrado"),IF(H63="Descartado",IF(P63="","Completar cierre","Cerrado"),IF(OR(C63="",D63="",E63="",F63="",G63="",H63="",I63="",K63="",L63="",B63=""),"Completar gestión",IF(NOT(ISNUMBER(L63)),"Revisar fecha",IF(L63&lt;TODAY(),"Vencido",IF(L63=TODAY(),"Hoy","Programado")))))))))</x:f>
      </x:c>
      <x:c r="N63" s="12"/>
      <x:c r="O63" s="12"/>
      <x:c r="P63" s="10"/>
      <x:c r="Q63" s="10"/>
    </x:row>
    <x:row r="64" ht="28" customHeight="1">
      <x:c r="A64" s="13"/>
      <x:c r="B64" s="12"/>
      <x:c r="C64" s="10"/>
      <x:c r="D64" s="13"/>
      <x:c r="E64" s="10"/>
      <x:c r="F64" s="10"/>
      <x:c r="G64" s="10"/>
      <x:c r="H64" s="10"/>
      <x:c r="I64" s="10"/>
      <x:c r="J64" s="12"/>
      <x:c r="K64" s="10"/>
      <x:c r="L64" s="12"/>
      <x:c r="M64" s="11" t="str">
        <x:f>IF(A64="",IF(C64="","","Falta ID"),IF(COUNTIFS($A$11:$A$210,A64)&gt;1,"ID duplicado",IF(AND(OR(H64="Contratado",H64="Implementación",H64="Entregado"),NOT(ISNUMBER(N64))),"Completar cierre",IF(H64="Entregado",IF(NOT(ISNUMBER(O64)),"Completar cierre","Cerrado"),IF(H64="Descartado",IF(P64="","Completar cierre","Cerrado"),IF(OR(C64="",D64="",E64="",F64="",G64="",H64="",I64="",K64="",L64="",B64=""),"Completar gestión",IF(NOT(ISNUMBER(L64)),"Revisar fecha",IF(L64&lt;TODAY(),"Vencido",IF(L64=TODAY(),"Hoy","Programado")))))))))</x:f>
      </x:c>
      <x:c r="N64" s="12"/>
      <x:c r="O64" s="12"/>
      <x:c r="P64" s="10"/>
      <x:c r="Q64" s="10"/>
    </x:row>
    <x:row r="65" ht="28" customHeight="1">
      <x:c r="A65" s="13"/>
      <x:c r="B65" s="12"/>
      <x:c r="C65" s="10"/>
      <x:c r="D65" s="13"/>
      <x:c r="E65" s="10"/>
      <x:c r="F65" s="10"/>
      <x:c r="G65" s="10"/>
      <x:c r="H65" s="10"/>
      <x:c r="I65" s="10"/>
      <x:c r="J65" s="12"/>
      <x:c r="K65" s="10"/>
      <x:c r="L65" s="12"/>
      <x:c r="M65" s="11" t="str">
        <x:f>IF(A65="",IF(C65="","","Falta ID"),IF(COUNTIFS($A$11:$A$210,A65)&gt;1,"ID duplicado",IF(AND(OR(H65="Contratado",H65="Implementación",H65="Entregado"),NOT(ISNUMBER(N65))),"Completar cierre",IF(H65="Entregado",IF(NOT(ISNUMBER(O65)),"Completar cierre","Cerrado"),IF(H65="Descartado",IF(P65="","Completar cierre","Cerrado"),IF(OR(C65="",D65="",E65="",F65="",G65="",H65="",I65="",K65="",L65="",B65=""),"Completar gestión",IF(NOT(ISNUMBER(L65)),"Revisar fecha",IF(L65&lt;TODAY(),"Vencido",IF(L65=TODAY(),"Hoy","Programado")))))))))</x:f>
      </x:c>
      <x:c r="N65" s="12"/>
      <x:c r="O65" s="12"/>
      <x:c r="P65" s="10"/>
      <x:c r="Q65" s="10"/>
    </x:row>
    <x:row r="66" ht="28" customHeight="1">
      <x:c r="A66" s="13"/>
      <x:c r="B66" s="12"/>
      <x:c r="C66" s="10"/>
      <x:c r="D66" s="13"/>
      <x:c r="E66" s="10"/>
      <x:c r="F66" s="10"/>
      <x:c r="G66" s="10"/>
      <x:c r="H66" s="10"/>
      <x:c r="I66" s="10"/>
      <x:c r="J66" s="12"/>
      <x:c r="K66" s="10"/>
      <x:c r="L66" s="12"/>
      <x:c r="M66" s="11" t="str">
        <x:f>IF(A66="",IF(C66="","","Falta ID"),IF(COUNTIFS($A$11:$A$210,A66)&gt;1,"ID duplicado",IF(AND(OR(H66="Contratado",H66="Implementación",H66="Entregado"),NOT(ISNUMBER(N66))),"Completar cierre",IF(H66="Entregado",IF(NOT(ISNUMBER(O66)),"Completar cierre","Cerrado"),IF(H66="Descartado",IF(P66="","Completar cierre","Cerrado"),IF(OR(C66="",D66="",E66="",F66="",G66="",H66="",I66="",K66="",L66="",B66=""),"Completar gestión",IF(NOT(ISNUMBER(L66)),"Revisar fecha",IF(L66&lt;TODAY(),"Vencido",IF(L66=TODAY(),"Hoy","Programado")))))))))</x:f>
      </x:c>
      <x:c r="N66" s="12"/>
      <x:c r="O66" s="12"/>
      <x:c r="P66" s="10"/>
      <x:c r="Q66" s="10"/>
    </x:row>
    <x:row r="67" ht="28" customHeight="1">
      <x:c r="A67" s="13"/>
      <x:c r="B67" s="12"/>
      <x:c r="C67" s="10"/>
      <x:c r="D67" s="13"/>
      <x:c r="E67" s="10"/>
      <x:c r="F67" s="10"/>
      <x:c r="G67" s="10"/>
      <x:c r="H67" s="10"/>
      <x:c r="I67" s="10"/>
      <x:c r="J67" s="12"/>
      <x:c r="K67" s="10"/>
      <x:c r="L67" s="12"/>
      <x:c r="M67" s="11" t="str">
        <x:f>IF(A67="",IF(C67="","","Falta ID"),IF(COUNTIFS($A$11:$A$210,A67)&gt;1,"ID duplicado",IF(AND(OR(H67="Contratado",H67="Implementación",H67="Entregado"),NOT(ISNUMBER(N67))),"Completar cierre",IF(H67="Entregado",IF(NOT(ISNUMBER(O67)),"Completar cierre","Cerrado"),IF(H67="Descartado",IF(P67="","Completar cierre","Cerrado"),IF(OR(C67="",D67="",E67="",F67="",G67="",H67="",I67="",K67="",L67="",B67=""),"Completar gestión",IF(NOT(ISNUMBER(L67)),"Revisar fecha",IF(L67&lt;TODAY(),"Vencido",IF(L67=TODAY(),"Hoy","Programado")))))))))</x:f>
      </x:c>
      <x:c r="N67" s="12"/>
      <x:c r="O67" s="12"/>
      <x:c r="P67" s="10"/>
      <x:c r="Q67" s="10"/>
    </x:row>
    <x:row r="68" ht="28" customHeight="1">
      <x:c r="A68" s="13"/>
      <x:c r="B68" s="12"/>
      <x:c r="C68" s="10"/>
      <x:c r="D68" s="13"/>
      <x:c r="E68" s="10"/>
      <x:c r="F68" s="10"/>
      <x:c r="G68" s="10"/>
      <x:c r="H68" s="10"/>
      <x:c r="I68" s="10"/>
      <x:c r="J68" s="12"/>
      <x:c r="K68" s="10"/>
      <x:c r="L68" s="12"/>
      <x:c r="M68" s="11" t="str">
        <x:f>IF(A68="",IF(C68="","","Falta ID"),IF(COUNTIFS($A$11:$A$210,A68)&gt;1,"ID duplicado",IF(AND(OR(H68="Contratado",H68="Implementación",H68="Entregado"),NOT(ISNUMBER(N68))),"Completar cierre",IF(H68="Entregado",IF(NOT(ISNUMBER(O68)),"Completar cierre","Cerrado"),IF(H68="Descartado",IF(P68="","Completar cierre","Cerrado"),IF(OR(C68="",D68="",E68="",F68="",G68="",H68="",I68="",K68="",L68="",B68=""),"Completar gestión",IF(NOT(ISNUMBER(L68)),"Revisar fecha",IF(L68&lt;TODAY(),"Vencido",IF(L68=TODAY(),"Hoy","Programado")))))))))</x:f>
      </x:c>
      <x:c r="N68" s="12"/>
      <x:c r="O68" s="12"/>
      <x:c r="P68" s="10"/>
      <x:c r="Q68" s="10"/>
    </x:row>
    <x:row r="69" ht="28" customHeight="1">
      <x:c r="A69" s="13"/>
      <x:c r="B69" s="12"/>
      <x:c r="C69" s="10"/>
      <x:c r="D69" s="13"/>
      <x:c r="E69" s="10"/>
      <x:c r="F69" s="10"/>
      <x:c r="G69" s="10"/>
      <x:c r="H69" s="10"/>
      <x:c r="I69" s="10"/>
      <x:c r="J69" s="12"/>
      <x:c r="K69" s="10"/>
      <x:c r="L69" s="12"/>
      <x:c r="M69" s="11" t="str">
        <x:f>IF(A69="",IF(C69="","","Falta ID"),IF(COUNTIFS($A$11:$A$210,A69)&gt;1,"ID duplicado",IF(AND(OR(H69="Contratado",H69="Implementación",H69="Entregado"),NOT(ISNUMBER(N69))),"Completar cierre",IF(H69="Entregado",IF(NOT(ISNUMBER(O69)),"Completar cierre","Cerrado"),IF(H69="Descartado",IF(P69="","Completar cierre","Cerrado"),IF(OR(C69="",D69="",E69="",F69="",G69="",H69="",I69="",K69="",L69="",B69=""),"Completar gestión",IF(NOT(ISNUMBER(L69)),"Revisar fecha",IF(L69&lt;TODAY(),"Vencido",IF(L69=TODAY(),"Hoy","Programado")))))))))</x:f>
      </x:c>
      <x:c r="N69" s="12"/>
      <x:c r="O69" s="12"/>
      <x:c r="P69" s="10"/>
      <x:c r="Q69" s="10"/>
    </x:row>
    <x:row r="70" ht="28" customHeight="1">
      <x:c r="A70" s="13"/>
      <x:c r="B70" s="12"/>
      <x:c r="C70" s="10"/>
      <x:c r="D70" s="13"/>
      <x:c r="E70" s="10"/>
      <x:c r="F70" s="10"/>
      <x:c r="G70" s="10"/>
      <x:c r="H70" s="10"/>
      <x:c r="I70" s="10"/>
      <x:c r="J70" s="12"/>
      <x:c r="K70" s="10"/>
      <x:c r="L70" s="12"/>
      <x:c r="M70" s="11" t="str">
        <x:f>IF(A70="",IF(C70="","","Falta ID"),IF(COUNTIFS($A$11:$A$210,A70)&gt;1,"ID duplicado",IF(AND(OR(H70="Contratado",H70="Implementación",H70="Entregado"),NOT(ISNUMBER(N70))),"Completar cierre",IF(H70="Entregado",IF(NOT(ISNUMBER(O70)),"Completar cierre","Cerrado"),IF(H70="Descartado",IF(P70="","Completar cierre","Cerrado"),IF(OR(C70="",D70="",E70="",F70="",G70="",H70="",I70="",K70="",L70="",B70=""),"Completar gestión",IF(NOT(ISNUMBER(L70)),"Revisar fecha",IF(L70&lt;TODAY(),"Vencido",IF(L70=TODAY(),"Hoy","Programado")))))))))</x:f>
      </x:c>
      <x:c r="N70" s="12"/>
      <x:c r="O70" s="12"/>
      <x:c r="P70" s="10"/>
      <x:c r="Q70" s="10"/>
    </x:row>
    <x:row r="71" ht="28" customHeight="1">
      <x:c r="A71" s="13"/>
      <x:c r="B71" s="12"/>
      <x:c r="C71" s="10"/>
      <x:c r="D71" s="13"/>
      <x:c r="E71" s="10"/>
      <x:c r="F71" s="10"/>
      <x:c r="G71" s="10"/>
      <x:c r="H71" s="10"/>
      <x:c r="I71" s="10"/>
      <x:c r="J71" s="12"/>
      <x:c r="K71" s="10"/>
      <x:c r="L71" s="12"/>
      <x:c r="M71" s="11" t="str">
        <x:f>IF(A71="",IF(C71="","","Falta ID"),IF(COUNTIFS($A$11:$A$210,A71)&gt;1,"ID duplicado",IF(AND(OR(H71="Contratado",H71="Implementación",H71="Entregado"),NOT(ISNUMBER(N71))),"Completar cierre",IF(H71="Entregado",IF(NOT(ISNUMBER(O71)),"Completar cierre","Cerrado"),IF(H71="Descartado",IF(P71="","Completar cierre","Cerrado"),IF(OR(C71="",D71="",E71="",F71="",G71="",H71="",I71="",K71="",L71="",B71=""),"Completar gestión",IF(NOT(ISNUMBER(L71)),"Revisar fecha",IF(L71&lt;TODAY(),"Vencido",IF(L71=TODAY(),"Hoy","Programado")))))))))</x:f>
      </x:c>
      <x:c r="N71" s="12"/>
      <x:c r="O71" s="12"/>
      <x:c r="P71" s="10"/>
      <x:c r="Q71" s="10"/>
    </x:row>
    <x:row r="72" ht="28" customHeight="1">
      <x:c r="A72" s="13"/>
      <x:c r="B72" s="12"/>
      <x:c r="C72" s="10"/>
      <x:c r="D72" s="13"/>
      <x:c r="E72" s="10"/>
      <x:c r="F72" s="10"/>
      <x:c r="G72" s="10"/>
      <x:c r="H72" s="10"/>
      <x:c r="I72" s="10"/>
      <x:c r="J72" s="12"/>
      <x:c r="K72" s="10"/>
      <x:c r="L72" s="12"/>
      <x:c r="M72" s="11" t="str">
        <x:f>IF(A72="",IF(C72="","","Falta ID"),IF(COUNTIFS($A$11:$A$210,A72)&gt;1,"ID duplicado",IF(AND(OR(H72="Contratado",H72="Implementación",H72="Entregado"),NOT(ISNUMBER(N72))),"Completar cierre",IF(H72="Entregado",IF(NOT(ISNUMBER(O72)),"Completar cierre","Cerrado"),IF(H72="Descartado",IF(P72="","Completar cierre","Cerrado"),IF(OR(C72="",D72="",E72="",F72="",G72="",H72="",I72="",K72="",L72="",B72=""),"Completar gestión",IF(NOT(ISNUMBER(L72)),"Revisar fecha",IF(L72&lt;TODAY(),"Vencido",IF(L72=TODAY(),"Hoy","Programado")))))))))</x:f>
      </x:c>
      <x:c r="N72" s="12"/>
      <x:c r="O72" s="12"/>
      <x:c r="P72" s="10"/>
      <x:c r="Q72" s="10"/>
    </x:row>
    <x:row r="73" ht="28" customHeight="1">
      <x:c r="A73" s="13"/>
      <x:c r="B73" s="12"/>
      <x:c r="C73" s="10"/>
      <x:c r="D73" s="13"/>
      <x:c r="E73" s="10"/>
      <x:c r="F73" s="10"/>
      <x:c r="G73" s="10"/>
      <x:c r="H73" s="10"/>
      <x:c r="I73" s="10"/>
      <x:c r="J73" s="12"/>
      <x:c r="K73" s="10"/>
      <x:c r="L73" s="12"/>
      <x:c r="M73" s="11" t="str">
        <x:f>IF(A73="",IF(C73="","","Falta ID"),IF(COUNTIFS($A$11:$A$210,A73)&gt;1,"ID duplicado",IF(AND(OR(H73="Contratado",H73="Implementación",H73="Entregado"),NOT(ISNUMBER(N73))),"Completar cierre",IF(H73="Entregado",IF(NOT(ISNUMBER(O73)),"Completar cierre","Cerrado"),IF(H73="Descartado",IF(P73="","Completar cierre","Cerrado"),IF(OR(C73="",D73="",E73="",F73="",G73="",H73="",I73="",K73="",L73="",B73=""),"Completar gestión",IF(NOT(ISNUMBER(L73)),"Revisar fecha",IF(L73&lt;TODAY(),"Vencido",IF(L73=TODAY(),"Hoy","Programado")))))))))</x:f>
      </x:c>
      <x:c r="N73" s="12"/>
      <x:c r="O73" s="12"/>
      <x:c r="P73" s="10"/>
      <x:c r="Q73" s="10"/>
    </x:row>
    <x:row r="74" ht="28" customHeight="1">
      <x:c r="A74" s="13"/>
      <x:c r="B74" s="12"/>
      <x:c r="C74" s="10"/>
      <x:c r="D74" s="13"/>
      <x:c r="E74" s="10"/>
      <x:c r="F74" s="10"/>
      <x:c r="G74" s="10"/>
      <x:c r="H74" s="10"/>
      <x:c r="I74" s="10"/>
      <x:c r="J74" s="12"/>
      <x:c r="K74" s="10"/>
      <x:c r="L74" s="12"/>
      <x:c r="M74" s="11" t="str">
        <x:f>IF(A74="",IF(C74="","","Falta ID"),IF(COUNTIFS($A$11:$A$210,A74)&gt;1,"ID duplicado",IF(AND(OR(H74="Contratado",H74="Implementación",H74="Entregado"),NOT(ISNUMBER(N74))),"Completar cierre",IF(H74="Entregado",IF(NOT(ISNUMBER(O74)),"Completar cierre","Cerrado"),IF(H74="Descartado",IF(P74="","Completar cierre","Cerrado"),IF(OR(C74="",D74="",E74="",F74="",G74="",H74="",I74="",K74="",L74="",B74=""),"Completar gestión",IF(NOT(ISNUMBER(L74)),"Revisar fecha",IF(L74&lt;TODAY(),"Vencido",IF(L74=TODAY(),"Hoy","Programado")))))))))</x:f>
      </x:c>
      <x:c r="N74" s="12"/>
      <x:c r="O74" s="12"/>
      <x:c r="P74" s="10"/>
      <x:c r="Q74" s="10"/>
    </x:row>
    <x:row r="75" ht="28" customHeight="1">
      <x:c r="A75" s="13"/>
      <x:c r="B75" s="12"/>
      <x:c r="C75" s="10"/>
      <x:c r="D75" s="13"/>
      <x:c r="E75" s="10"/>
      <x:c r="F75" s="10"/>
      <x:c r="G75" s="10"/>
      <x:c r="H75" s="10"/>
      <x:c r="I75" s="10"/>
      <x:c r="J75" s="12"/>
      <x:c r="K75" s="10"/>
      <x:c r="L75" s="12"/>
      <x:c r="M75" s="11" t="str">
        <x:f>IF(A75="",IF(C75="","","Falta ID"),IF(COUNTIFS($A$11:$A$210,A75)&gt;1,"ID duplicado",IF(AND(OR(H75="Contratado",H75="Implementación",H75="Entregado"),NOT(ISNUMBER(N75))),"Completar cierre",IF(H75="Entregado",IF(NOT(ISNUMBER(O75)),"Completar cierre","Cerrado"),IF(H75="Descartado",IF(P75="","Completar cierre","Cerrado"),IF(OR(C75="",D75="",E75="",F75="",G75="",H75="",I75="",K75="",L75="",B75=""),"Completar gestión",IF(NOT(ISNUMBER(L75)),"Revisar fecha",IF(L75&lt;TODAY(),"Vencido",IF(L75=TODAY(),"Hoy","Programado")))))))))</x:f>
      </x:c>
      <x:c r="N75" s="12"/>
      <x:c r="O75" s="12"/>
      <x:c r="P75" s="10"/>
      <x:c r="Q75" s="10"/>
    </x:row>
    <x:row r="76" ht="28" customHeight="1">
      <x:c r="A76" s="13"/>
      <x:c r="B76" s="12"/>
      <x:c r="C76" s="10"/>
      <x:c r="D76" s="13"/>
      <x:c r="E76" s="10"/>
      <x:c r="F76" s="10"/>
      <x:c r="G76" s="10"/>
      <x:c r="H76" s="10"/>
      <x:c r="I76" s="10"/>
      <x:c r="J76" s="12"/>
      <x:c r="K76" s="10"/>
      <x:c r="L76" s="12"/>
      <x:c r="M76" s="11" t="str">
        <x:f>IF(A76="",IF(C76="","","Falta ID"),IF(COUNTIFS($A$11:$A$210,A76)&gt;1,"ID duplicado",IF(AND(OR(H76="Contratado",H76="Implementación",H76="Entregado"),NOT(ISNUMBER(N76))),"Completar cierre",IF(H76="Entregado",IF(NOT(ISNUMBER(O76)),"Completar cierre","Cerrado"),IF(H76="Descartado",IF(P76="","Completar cierre","Cerrado"),IF(OR(C76="",D76="",E76="",F76="",G76="",H76="",I76="",K76="",L76="",B76=""),"Completar gestión",IF(NOT(ISNUMBER(L76)),"Revisar fecha",IF(L76&lt;TODAY(),"Vencido",IF(L76=TODAY(),"Hoy","Programado")))))))))</x:f>
      </x:c>
      <x:c r="N76" s="12"/>
      <x:c r="O76" s="12"/>
      <x:c r="P76" s="10"/>
      <x:c r="Q76" s="10"/>
    </x:row>
    <x:row r="77" ht="28" customHeight="1">
      <x:c r="A77" s="13"/>
      <x:c r="B77" s="12"/>
      <x:c r="C77" s="10"/>
      <x:c r="D77" s="13"/>
      <x:c r="E77" s="10"/>
      <x:c r="F77" s="10"/>
      <x:c r="G77" s="10"/>
      <x:c r="H77" s="10"/>
      <x:c r="I77" s="10"/>
      <x:c r="J77" s="12"/>
      <x:c r="K77" s="10"/>
      <x:c r="L77" s="12"/>
      <x:c r="M77" s="11" t="str">
        <x:f>IF(A77="",IF(C77="","","Falta ID"),IF(COUNTIFS($A$11:$A$210,A77)&gt;1,"ID duplicado",IF(AND(OR(H77="Contratado",H77="Implementación",H77="Entregado"),NOT(ISNUMBER(N77))),"Completar cierre",IF(H77="Entregado",IF(NOT(ISNUMBER(O77)),"Completar cierre","Cerrado"),IF(H77="Descartado",IF(P77="","Completar cierre","Cerrado"),IF(OR(C77="",D77="",E77="",F77="",G77="",H77="",I77="",K77="",L77="",B77=""),"Completar gestión",IF(NOT(ISNUMBER(L77)),"Revisar fecha",IF(L77&lt;TODAY(),"Vencido",IF(L77=TODAY(),"Hoy","Programado")))))))))</x:f>
      </x:c>
      <x:c r="N77" s="12"/>
      <x:c r="O77" s="12"/>
      <x:c r="P77" s="10"/>
      <x:c r="Q77" s="10"/>
    </x:row>
    <x:row r="78" ht="28" customHeight="1">
      <x:c r="A78" s="13"/>
      <x:c r="B78" s="12"/>
      <x:c r="C78" s="10"/>
      <x:c r="D78" s="13"/>
      <x:c r="E78" s="10"/>
      <x:c r="F78" s="10"/>
      <x:c r="G78" s="10"/>
      <x:c r="H78" s="10"/>
      <x:c r="I78" s="10"/>
      <x:c r="J78" s="12"/>
      <x:c r="K78" s="10"/>
      <x:c r="L78" s="12"/>
      <x:c r="M78" s="11" t="str">
        <x:f>IF(A78="",IF(C78="","","Falta ID"),IF(COUNTIFS($A$11:$A$210,A78)&gt;1,"ID duplicado",IF(AND(OR(H78="Contratado",H78="Implementación",H78="Entregado"),NOT(ISNUMBER(N78))),"Completar cierre",IF(H78="Entregado",IF(NOT(ISNUMBER(O78)),"Completar cierre","Cerrado"),IF(H78="Descartado",IF(P78="","Completar cierre","Cerrado"),IF(OR(C78="",D78="",E78="",F78="",G78="",H78="",I78="",K78="",L78="",B78=""),"Completar gestión",IF(NOT(ISNUMBER(L78)),"Revisar fecha",IF(L78&lt;TODAY(),"Vencido",IF(L78=TODAY(),"Hoy","Programado")))))))))</x:f>
      </x:c>
      <x:c r="N78" s="12"/>
      <x:c r="O78" s="12"/>
      <x:c r="P78" s="10"/>
      <x:c r="Q78" s="10"/>
    </x:row>
    <x:row r="79" ht="28" customHeight="1">
      <x:c r="A79" s="13"/>
      <x:c r="B79" s="12"/>
      <x:c r="C79" s="10"/>
      <x:c r="D79" s="13"/>
      <x:c r="E79" s="10"/>
      <x:c r="F79" s="10"/>
      <x:c r="G79" s="10"/>
      <x:c r="H79" s="10"/>
      <x:c r="I79" s="10"/>
      <x:c r="J79" s="12"/>
      <x:c r="K79" s="10"/>
      <x:c r="L79" s="12"/>
      <x:c r="M79" s="11" t="str">
        <x:f>IF(A79="",IF(C79="","","Falta ID"),IF(COUNTIFS($A$11:$A$210,A79)&gt;1,"ID duplicado",IF(AND(OR(H79="Contratado",H79="Implementación",H79="Entregado"),NOT(ISNUMBER(N79))),"Completar cierre",IF(H79="Entregado",IF(NOT(ISNUMBER(O79)),"Completar cierre","Cerrado"),IF(H79="Descartado",IF(P79="","Completar cierre","Cerrado"),IF(OR(C79="",D79="",E79="",F79="",G79="",H79="",I79="",K79="",L79="",B79=""),"Completar gestión",IF(NOT(ISNUMBER(L79)),"Revisar fecha",IF(L79&lt;TODAY(),"Vencido",IF(L79=TODAY(),"Hoy","Programado")))))))))</x:f>
      </x:c>
      <x:c r="N79" s="12"/>
      <x:c r="O79" s="12"/>
      <x:c r="P79" s="10"/>
      <x:c r="Q79" s="10"/>
    </x:row>
    <x:row r="80" ht="28" customHeight="1">
      <x:c r="A80" s="13"/>
      <x:c r="B80" s="12"/>
      <x:c r="C80" s="10"/>
      <x:c r="D80" s="13"/>
      <x:c r="E80" s="10"/>
      <x:c r="F80" s="10"/>
      <x:c r="G80" s="10"/>
      <x:c r="H80" s="10"/>
      <x:c r="I80" s="10"/>
      <x:c r="J80" s="12"/>
      <x:c r="K80" s="10"/>
      <x:c r="L80" s="12"/>
      <x:c r="M80" s="11" t="str">
        <x:f>IF(A80="",IF(C80="","","Falta ID"),IF(COUNTIFS($A$11:$A$210,A80)&gt;1,"ID duplicado",IF(AND(OR(H80="Contratado",H80="Implementación",H80="Entregado"),NOT(ISNUMBER(N80))),"Completar cierre",IF(H80="Entregado",IF(NOT(ISNUMBER(O80)),"Completar cierre","Cerrado"),IF(H80="Descartado",IF(P80="","Completar cierre","Cerrado"),IF(OR(C80="",D80="",E80="",F80="",G80="",H80="",I80="",K80="",L80="",B80=""),"Completar gestión",IF(NOT(ISNUMBER(L80)),"Revisar fecha",IF(L80&lt;TODAY(),"Vencido",IF(L80=TODAY(),"Hoy","Programado")))))))))</x:f>
      </x:c>
      <x:c r="N80" s="12"/>
      <x:c r="O80" s="12"/>
      <x:c r="P80" s="10"/>
      <x:c r="Q80" s="10"/>
    </x:row>
    <x:row r="81" ht="28" customHeight="1">
      <x:c r="A81" s="13"/>
      <x:c r="B81" s="12"/>
      <x:c r="C81" s="10"/>
      <x:c r="D81" s="13"/>
      <x:c r="E81" s="10"/>
      <x:c r="F81" s="10"/>
      <x:c r="G81" s="10"/>
      <x:c r="H81" s="10"/>
      <x:c r="I81" s="10"/>
      <x:c r="J81" s="12"/>
      <x:c r="K81" s="10"/>
      <x:c r="L81" s="12"/>
      <x:c r="M81" s="11" t="str">
        <x:f>IF(A81="",IF(C81="","","Falta ID"),IF(COUNTIFS($A$11:$A$210,A81)&gt;1,"ID duplicado",IF(AND(OR(H81="Contratado",H81="Implementación",H81="Entregado"),NOT(ISNUMBER(N81))),"Completar cierre",IF(H81="Entregado",IF(NOT(ISNUMBER(O81)),"Completar cierre","Cerrado"),IF(H81="Descartado",IF(P81="","Completar cierre","Cerrado"),IF(OR(C81="",D81="",E81="",F81="",G81="",H81="",I81="",K81="",L81="",B81=""),"Completar gestión",IF(NOT(ISNUMBER(L81)),"Revisar fecha",IF(L81&lt;TODAY(),"Vencido",IF(L81=TODAY(),"Hoy","Programado")))))))))</x:f>
      </x:c>
      <x:c r="N81" s="12"/>
      <x:c r="O81" s="12"/>
      <x:c r="P81" s="10"/>
      <x:c r="Q81" s="10"/>
    </x:row>
    <x:row r="82" ht="28" customHeight="1">
      <x:c r="A82" s="13"/>
      <x:c r="B82" s="12"/>
      <x:c r="C82" s="10"/>
      <x:c r="D82" s="13"/>
      <x:c r="E82" s="10"/>
      <x:c r="F82" s="10"/>
      <x:c r="G82" s="10"/>
      <x:c r="H82" s="10"/>
      <x:c r="I82" s="10"/>
      <x:c r="J82" s="12"/>
      <x:c r="K82" s="10"/>
      <x:c r="L82" s="12"/>
      <x:c r="M82" s="11" t="str">
        <x:f>IF(A82="",IF(C82="","","Falta ID"),IF(COUNTIFS($A$11:$A$210,A82)&gt;1,"ID duplicado",IF(AND(OR(H82="Contratado",H82="Implementación",H82="Entregado"),NOT(ISNUMBER(N82))),"Completar cierre",IF(H82="Entregado",IF(NOT(ISNUMBER(O82)),"Completar cierre","Cerrado"),IF(H82="Descartado",IF(P82="","Completar cierre","Cerrado"),IF(OR(C82="",D82="",E82="",F82="",G82="",H82="",I82="",K82="",L82="",B82=""),"Completar gestión",IF(NOT(ISNUMBER(L82)),"Revisar fecha",IF(L82&lt;TODAY(),"Vencido",IF(L82=TODAY(),"Hoy","Programado")))))))))</x:f>
      </x:c>
      <x:c r="N82" s="12"/>
      <x:c r="O82" s="12"/>
      <x:c r="P82" s="10"/>
      <x:c r="Q82" s="10"/>
    </x:row>
    <x:row r="83" ht="28" customHeight="1">
      <x:c r="A83" s="13"/>
      <x:c r="B83" s="12"/>
      <x:c r="C83" s="10"/>
      <x:c r="D83" s="13"/>
      <x:c r="E83" s="10"/>
      <x:c r="F83" s="10"/>
      <x:c r="G83" s="10"/>
      <x:c r="H83" s="10"/>
      <x:c r="I83" s="10"/>
      <x:c r="J83" s="12"/>
      <x:c r="K83" s="10"/>
      <x:c r="L83" s="12"/>
      <x:c r="M83" s="11" t="str">
        <x:f>IF(A83="",IF(C83="","","Falta ID"),IF(COUNTIFS($A$11:$A$210,A83)&gt;1,"ID duplicado",IF(AND(OR(H83="Contratado",H83="Implementación",H83="Entregado"),NOT(ISNUMBER(N83))),"Completar cierre",IF(H83="Entregado",IF(NOT(ISNUMBER(O83)),"Completar cierre","Cerrado"),IF(H83="Descartado",IF(P83="","Completar cierre","Cerrado"),IF(OR(C83="",D83="",E83="",F83="",G83="",H83="",I83="",K83="",L83="",B83=""),"Completar gestión",IF(NOT(ISNUMBER(L83)),"Revisar fecha",IF(L83&lt;TODAY(),"Vencido",IF(L83=TODAY(),"Hoy","Programado")))))))))</x:f>
      </x:c>
      <x:c r="N83" s="12"/>
      <x:c r="O83" s="12"/>
      <x:c r="P83" s="10"/>
      <x:c r="Q83" s="10"/>
    </x:row>
    <x:row r="84" ht="28" customHeight="1">
      <x:c r="A84" s="13"/>
      <x:c r="B84" s="12"/>
      <x:c r="C84" s="10"/>
      <x:c r="D84" s="13"/>
      <x:c r="E84" s="10"/>
      <x:c r="F84" s="10"/>
      <x:c r="G84" s="10"/>
      <x:c r="H84" s="10"/>
      <x:c r="I84" s="10"/>
      <x:c r="J84" s="12"/>
      <x:c r="K84" s="10"/>
      <x:c r="L84" s="12"/>
      <x:c r="M84" s="11" t="str">
        <x:f>IF(A84="",IF(C84="","","Falta ID"),IF(COUNTIFS($A$11:$A$210,A84)&gt;1,"ID duplicado",IF(AND(OR(H84="Contratado",H84="Implementación",H84="Entregado"),NOT(ISNUMBER(N84))),"Completar cierre",IF(H84="Entregado",IF(NOT(ISNUMBER(O84)),"Completar cierre","Cerrado"),IF(H84="Descartado",IF(P84="","Completar cierre","Cerrado"),IF(OR(C84="",D84="",E84="",F84="",G84="",H84="",I84="",K84="",L84="",B84=""),"Completar gestión",IF(NOT(ISNUMBER(L84)),"Revisar fecha",IF(L84&lt;TODAY(),"Vencido",IF(L84=TODAY(),"Hoy","Programado")))))))))</x:f>
      </x:c>
      <x:c r="N84" s="12"/>
      <x:c r="O84" s="12"/>
      <x:c r="P84" s="10"/>
      <x:c r="Q84" s="10"/>
    </x:row>
    <x:row r="85" ht="28" customHeight="1">
      <x:c r="A85" s="13"/>
      <x:c r="B85" s="12"/>
      <x:c r="C85" s="10"/>
      <x:c r="D85" s="13"/>
      <x:c r="E85" s="10"/>
      <x:c r="F85" s="10"/>
      <x:c r="G85" s="10"/>
      <x:c r="H85" s="10"/>
      <x:c r="I85" s="10"/>
      <x:c r="J85" s="12"/>
      <x:c r="K85" s="10"/>
      <x:c r="L85" s="12"/>
      <x:c r="M85" s="11" t="str">
        <x:f>IF(A85="",IF(C85="","","Falta ID"),IF(COUNTIFS($A$11:$A$210,A85)&gt;1,"ID duplicado",IF(AND(OR(H85="Contratado",H85="Implementación",H85="Entregado"),NOT(ISNUMBER(N85))),"Completar cierre",IF(H85="Entregado",IF(NOT(ISNUMBER(O85)),"Completar cierre","Cerrado"),IF(H85="Descartado",IF(P85="","Completar cierre","Cerrado"),IF(OR(C85="",D85="",E85="",F85="",G85="",H85="",I85="",K85="",L85="",B85=""),"Completar gestión",IF(NOT(ISNUMBER(L85)),"Revisar fecha",IF(L85&lt;TODAY(),"Vencido",IF(L85=TODAY(),"Hoy","Programado")))))))))</x:f>
      </x:c>
      <x:c r="N85" s="12"/>
      <x:c r="O85" s="12"/>
      <x:c r="P85" s="10"/>
      <x:c r="Q85" s="10"/>
    </x:row>
    <x:row r="86" ht="28" customHeight="1">
      <x:c r="A86" s="13"/>
      <x:c r="B86" s="12"/>
      <x:c r="C86" s="10"/>
      <x:c r="D86" s="13"/>
      <x:c r="E86" s="10"/>
      <x:c r="F86" s="10"/>
      <x:c r="G86" s="10"/>
      <x:c r="H86" s="10"/>
      <x:c r="I86" s="10"/>
      <x:c r="J86" s="12"/>
      <x:c r="K86" s="10"/>
      <x:c r="L86" s="12"/>
      <x:c r="M86" s="11" t="str">
        <x:f>IF(A86="",IF(C86="","","Falta ID"),IF(COUNTIFS($A$11:$A$210,A86)&gt;1,"ID duplicado",IF(AND(OR(H86="Contratado",H86="Implementación",H86="Entregado"),NOT(ISNUMBER(N86))),"Completar cierre",IF(H86="Entregado",IF(NOT(ISNUMBER(O86)),"Completar cierre","Cerrado"),IF(H86="Descartado",IF(P86="","Completar cierre","Cerrado"),IF(OR(C86="",D86="",E86="",F86="",G86="",H86="",I86="",K86="",L86="",B86=""),"Completar gestión",IF(NOT(ISNUMBER(L86)),"Revisar fecha",IF(L86&lt;TODAY(),"Vencido",IF(L86=TODAY(),"Hoy","Programado")))))))))</x:f>
      </x:c>
      <x:c r="N86" s="12"/>
      <x:c r="O86" s="12"/>
      <x:c r="P86" s="10"/>
      <x:c r="Q86" s="10"/>
    </x:row>
    <x:row r="87" ht="28" customHeight="1">
      <x:c r="A87" s="13"/>
      <x:c r="B87" s="12"/>
      <x:c r="C87" s="10"/>
      <x:c r="D87" s="13"/>
      <x:c r="E87" s="10"/>
      <x:c r="F87" s="10"/>
      <x:c r="G87" s="10"/>
      <x:c r="H87" s="10"/>
      <x:c r="I87" s="10"/>
      <x:c r="J87" s="12"/>
      <x:c r="K87" s="10"/>
      <x:c r="L87" s="12"/>
      <x:c r="M87" s="11" t="str">
        <x:f>IF(A87="",IF(C87="","","Falta ID"),IF(COUNTIFS($A$11:$A$210,A87)&gt;1,"ID duplicado",IF(AND(OR(H87="Contratado",H87="Implementación",H87="Entregado"),NOT(ISNUMBER(N87))),"Completar cierre",IF(H87="Entregado",IF(NOT(ISNUMBER(O87)),"Completar cierre","Cerrado"),IF(H87="Descartado",IF(P87="","Completar cierre","Cerrado"),IF(OR(C87="",D87="",E87="",F87="",G87="",H87="",I87="",K87="",L87="",B87=""),"Completar gestión",IF(NOT(ISNUMBER(L87)),"Revisar fecha",IF(L87&lt;TODAY(),"Vencido",IF(L87=TODAY(),"Hoy","Programado")))))))))</x:f>
      </x:c>
      <x:c r="N87" s="12"/>
      <x:c r="O87" s="12"/>
      <x:c r="P87" s="10"/>
      <x:c r="Q87" s="10"/>
    </x:row>
    <x:row r="88" ht="28" customHeight="1">
      <x:c r="A88" s="13"/>
      <x:c r="B88" s="12"/>
      <x:c r="C88" s="10"/>
      <x:c r="D88" s="13"/>
      <x:c r="E88" s="10"/>
      <x:c r="F88" s="10"/>
      <x:c r="G88" s="10"/>
      <x:c r="H88" s="10"/>
      <x:c r="I88" s="10"/>
      <x:c r="J88" s="12"/>
      <x:c r="K88" s="10"/>
      <x:c r="L88" s="12"/>
      <x:c r="M88" s="11" t="str">
        <x:f>IF(A88="",IF(C88="","","Falta ID"),IF(COUNTIFS($A$11:$A$210,A88)&gt;1,"ID duplicado",IF(AND(OR(H88="Contratado",H88="Implementación",H88="Entregado"),NOT(ISNUMBER(N88))),"Completar cierre",IF(H88="Entregado",IF(NOT(ISNUMBER(O88)),"Completar cierre","Cerrado"),IF(H88="Descartado",IF(P88="","Completar cierre","Cerrado"),IF(OR(C88="",D88="",E88="",F88="",G88="",H88="",I88="",K88="",L88="",B88=""),"Completar gestión",IF(NOT(ISNUMBER(L88)),"Revisar fecha",IF(L88&lt;TODAY(),"Vencido",IF(L88=TODAY(),"Hoy","Programado")))))))))</x:f>
      </x:c>
      <x:c r="N88" s="12"/>
      <x:c r="O88" s="12"/>
      <x:c r="P88" s="10"/>
      <x:c r="Q88" s="10"/>
    </x:row>
    <x:row r="89" ht="28" customHeight="1">
      <x:c r="A89" s="13"/>
      <x:c r="B89" s="12"/>
      <x:c r="C89" s="10"/>
      <x:c r="D89" s="13"/>
      <x:c r="E89" s="10"/>
      <x:c r="F89" s="10"/>
      <x:c r="G89" s="10"/>
      <x:c r="H89" s="10"/>
      <x:c r="I89" s="10"/>
      <x:c r="J89" s="12"/>
      <x:c r="K89" s="10"/>
      <x:c r="L89" s="12"/>
      <x:c r="M89" s="11" t="str">
        <x:f>IF(A89="",IF(C89="","","Falta ID"),IF(COUNTIFS($A$11:$A$210,A89)&gt;1,"ID duplicado",IF(AND(OR(H89="Contratado",H89="Implementación",H89="Entregado"),NOT(ISNUMBER(N89))),"Completar cierre",IF(H89="Entregado",IF(NOT(ISNUMBER(O89)),"Completar cierre","Cerrado"),IF(H89="Descartado",IF(P89="","Completar cierre","Cerrado"),IF(OR(C89="",D89="",E89="",F89="",G89="",H89="",I89="",K89="",L89="",B89=""),"Completar gestión",IF(NOT(ISNUMBER(L89)),"Revisar fecha",IF(L89&lt;TODAY(),"Vencido",IF(L89=TODAY(),"Hoy","Programado")))))))))</x:f>
      </x:c>
      <x:c r="N89" s="12"/>
      <x:c r="O89" s="12"/>
      <x:c r="P89" s="10"/>
      <x:c r="Q89" s="10"/>
    </x:row>
    <x:row r="90" ht="28" customHeight="1">
      <x:c r="A90" s="13"/>
      <x:c r="B90" s="12"/>
      <x:c r="C90" s="10"/>
      <x:c r="D90" s="13"/>
      <x:c r="E90" s="10"/>
      <x:c r="F90" s="10"/>
      <x:c r="G90" s="10"/>
      <x:c r="H90" s="10"/>
      <x:c r="I90" s="10"/>
      <x:c r="J90" s="12"/>
      <x:c r="K90" s="10"/>
      <x:c r="L90" s="12"/>
      <x:c r="M90" s="11" t="str">
        <x:f>IF(A90="",IF(C90="","","Falta ID"),IF(COUNTIFS($A$11:$A$210,A90)&gt;1,"ID duplicado",IF(AND(OR(H90="Contratado",H90="Implementación",H90="Entregado"),NOT(ISNUMBER(N90))),"Completar cierre",IF(H90="Entregado",IF(NOT(ISNUMBER(O90)),"Completar cierre","Cerrado"),IF(H90="Descartado",IF(P90="","Completar cierre","Cerrado"),IF(OR(C90="",D90="",E90="",F90="",G90="",H90="",I90="",K90="",L90="",B90=""),"Completar gestión",IF(NOT(ISNUMBER(L90)),"Revisar fecha",IF(L90&lt;TODAY(),"Vencido",IF(L90=TODAY(),"Hoy","Programado")))))))))</x:f>
      </x:c>
      <x:c r="N90" s="12"/>
      <x:c r="O90" s="12"/>
      <x:c r="P90" s="10"/>
      <x:c r="Q90" s="10"/>
    </x:row>
    <x:row r="91" ht="28" customHeight="1">
      <x:c r="A91" s="13"/>
      <x:c r="B91" s="12"/>
      <x:c r="C91" s="10"/>
      <x:c r="D91" s="13"/>
      <x:c r="E91" s="10"/>
      <x:c r="F91" s="10"/>
      <x:c r="G91" s="10"/>
      <x:c r="H91" s="10"/>
      <x:c r="I91" s="10"/>
      <x:c r="J91" s="12"/>
      <x:c r="K91" s="10"/>
      <x:c r="L91" s="12"/>
      <x:c r="M91" s="11" t="str">
        <x:f>IF(A91="",IF(C91="","","Falta ID"),IF(COUNTIFS($A$11:$A$210,A91)&gt;1,"ID duplicado",IF(AND(OR(H91="Contratado",H91="Implementación",H91="Entregado"),NOT(ISNUMBER(N91))),"Completar cierre",IF(H91="Entregado",IF(NOT(ISNUMBER(O91)),"Completar cierre","Cerrado"),IF(H91="Descartado",IF(P91="","Completar cierre","Cerrado"),IF(OR(C91="",D91="",E91="",F91="",G91="",H91="",I91="",K91="",L91="",B91=""),"Completar gestión",IF(NOT(ISNUMBER(L91)),"Revisar fecha",IF(L91&lt;TODAY(),"Vencido",IF(L91=TODAY(),"Hoy","Programado")))))))))</x:f>
      </x:c>
      <x:c r="N91" s="12"/>
      <x:c r="O91" s="12"/>
      <x:c r="P91" s="10"/>
      <x:c r="Q91" s="10"/>
    </x:row>
    <x:row r="92" ht="28" customHeight="1">
      <x:c r="A92" s="13"/>
      <x:c r="B92" s="12"/>
      <x:c r="C92" s="10"/>
      <x:c r="D92" s="13"/>
      <x:c r="E92" s="10"/>
      <x:c r="F92" s="10"/>
      <x:c r="G92" s="10"/>
      <x:c r="H92" s="10"/>
      <x:c r="I92" s="10"/>
      <x:c r="J92" s="12"/>
      <x:c r="K92" s="10"/>
      <x:c r="L92" s="12"/>
      <x:c r="M92" s="11" t="str">
        <x:f>IF(A92="",IF(C92="","","Falta ID"),IF(COUNTIFS($A$11:$A$210,A92)&gt;1,"ID duplicado",IF(AND(OR(H92="Contratado",H92="Implementación",H92="Entregado"),NOT(ISNUMBER(N92))),"Completar cierre",IF(H92="Entregado",IF(NOT(ISNUMBER(O92)),"Completar cierre","Cerrado"),IF(H92="Descartado",IF(P92="","Completar cierre","Cerrado"),IF(OR(C92="",D92="",E92="",F92="",G92="",H92="",I92="",K92="",L92="",B92=""),"Completar gestión",IF(NOT(ISNUMBER(L92)),"Revisar fecha",IF(L92&lt;TODAY(),"Vencido",IF(L92=TODAY(),"Hoy","Programado")))))))))</x:f>
      </x:c>
      <x:c r="N92" s="12"/>
      <x:c r="O92" s="12"/>
      <x:c r="P92" s="10"/>
      <x:c r="Q92" s="10"/>
    </x:row>
    <x:row r="93" ht="28" customHeight="1">
      <x:c r="A93" s="13"/>
      <x:c r="B93" s="12"/>
      <x:c r="C93" s="10"/>
      <x:c r="D93" s="13"/>
      <x:c r="E93" s="10"/>
      <x:c r="F93" s="10"/>
      <x:c r="G93" s="10"/>
      <x:c r="H93" s="10"/>
      <x:c r="I93" s="10"/>
      <x:c r="J93" s="12"/>
      <x:c r="K93" s="10"/>
      <x:c r="L93" s="12"/>
      <x:c r="M93" s="11" t="str">
        <x:f>IF(A93="",IF(C93="","","Falta ID"),IF(COUNTIFS($A$11:$A$210,A93)&gt;1,"ID duplicado",IF(AND(OR(H93="Contratado",H93="Implementación",H93="Entregado"),NOT(ISNUMBER(N93))),"Completar cierre",IF(H93="Entregado",IF(NOT(ISNUMBER(O93)),"Completar cierre","Cerrado"),IF(H93="Descartado",IF(P93="","Completar cierre","Cerrado"),IF(OR(C93="",D93="",E93="",F93="",G93="",H93="",I93="",K93="",L93="",B93=""),"Completar gestión",IF(NOT(ISNUMBER(L93)),"Revisar fecha",IF(L93&lt;TODAY(),"Vencido",IF(L93=TODAY(),"Hoy","Programado")))))))))</x:f>
      </x:c>
      <x:c r="N93" s="12"/>
      <x:c r="O93" s="12"/>
      <x:c r="P93" s="10"/>
      <x:c r="Q93" s="10"/>
    </x:row>
    <x:row r="94" ht="28" customHeight="1">
      <x:c r="A94" s="13"/>
      <x:c r="B94" s="12"/>
      <x:c r="C94" s="10"/>
      <x:c r="D94" s="13"/>
      <x:c r="E94" s="10"/>
      <x:c r="F94" s="10"/>
      <x:c r="G94" s="10"/>
      <x:c r="H94" s="10"/>
      <x:c r="I94" s="10"/>
      <x:c r="J94" s="12"/>
      <x:c r="K94" s="10"/>
      <x:c r="L94" s="12"/>
      <x:c r="M94" s="11" t="str">
        <x:f>IF(A94="",IF(C94="","","Falta ID"),IF(COUNTIFS($A$11:$A$210,A94)&gt;1,"ID duplicado",IF(AND(OR(H94="Contratado",H94="Implementación",H94="Entregado"),NOT(ISNUMBER(N94))),"Completar cierre",IF(H94="Entregado",IF(NOT(ISNUMBER(O94)),"Completar cierre","Cerrado"),IF(H94="Descartado",IF(P94="","Completar cierre","Cerrado"),IF(OR(C94="",D94="",E94="",F94="",G94="",H94="",I94="",K94="",L94="",B94=""),"Completar gestión",IF(NOT(ISNUMBER(L94)),"Revisar fecha",IF(L94&lt;TODAY(),"Vencido",IF(L94=TODAY(),"Hoy","Programado")))))))))</x:f>
      </x:c>
      <x:c r="N94" s="12"/>
      <x:c r="O94" s="12"/>
      <x:c r="P94" s="10"/>
      <x:c r="Q94" s="10"/>
    </x:row>
    <x:row r="95" ht="28" customHeight="1">
      <x:c r="A95" s="13"/>
      <x:c r="B95" s="12"/>
      <x:c r="C95" s="10"/>
      <x:c r="D95" s="13"/>
      <x:c r="E95" s="10"/>
      <x:c r="F95" s="10"/>
      <x:c r="G95" s="10"/>
      <x:c r="H95" s="10"/>
      <x:c r="I95" s="10"/>
      <x:c r="J95" s="12"/>
      <x:c r="K95" s="10"/>
      <x:c r="L95" s="12"/>
      <x:c r="M95" s="11" t="str">
        <x:f>IF(A95="",IF(C95="","","Falta ID"),IF(COUNTIFS($A$11:$A$210,A95)&gt;1,"ID duplicado",IF(AND(OR(H95="Contratado",H95="Implementación",H95="Entregado"),NOT(ISNUMBER(N95))),"Completar cierre",IF(H95="Entregado",IF(NOT(ISNUMBER(O95)),"Completar cierre","Cerrado"),IF(H95="Descartado",IF(P95="","Completar cierre","Cerrado"),IF(OR(C95="",D95="",E95="",F95="",G95="",H95="",I95="",K95="",L95="",B95=""),"Completar gestión",IF(NOT(ISNUMBER(L95)),"Revisar fecha",IF(L95&lt;TODAY(),"Vencido",IF(L95=TODAY(),"Hoy","Programado")))))))))</x:f>
      </x:c>
      <x:c r="N95" s="12"/>
      <x:c r="O95" s="12"/>
      <x:c r="P95" s="10"/>
      <x:c r="Q95" s="10"/>
    </x:row>
    <x:row r="96" ht="28" customHeight="1">
      <x:c r="A96" s="13"/>
      <x:c r="B96" s="12"/>
      <x:c r="C96" s="10"/>
      <x:c r="D96" s="13"/>
      <x:c r="E96" s="10"/>
      <x:c r="F96" s="10"/>
      <x:c r="G96" s="10"/>
      <x:c r="H96" s="10"/>
      <x:c r="I96" s="10"/>
      <x:c r="J96" s="12"/>
      <x:c r="K96" s="10"/>
      <x:c r="L96" s="12"/>
      <x:c r="M96" s="11" t="str">
        <x:f>IF(A96="",IF(C96="","","Falta ID"),IF(COUNTIFS($A$11:$A$210,A96)&gt;1,"ID duplicado",IF(AND(OR(H96="Contratado",H96="Implementación",H96="Entregado"),NOT(ISNUMBER(N96))),"Completar cierre",IF(H96="Entregado",IF(NOT(ISNUMBER(O96)),"Completar cierre","Cerrado"),IF(H96="Descartado",IF(P96="","Completar cierre","Cerrado"),IF(OR(C96="",D96="",E96="",F96="",G96="",H96="",I96="",K96="",L96="",B96=""),"Completar gestión",IF(NOT(ISNUMBER(L96)),"Revisar fecha",IF(L96&lt;TODAY(),"Vencido",IF(L96=TODAY(),"Hoy","Programado")))))))))</x:f>
      </x:c>
      <x:c r="N96" s="12"/>
      <x:c r="O96" s="12"/>
      <x:c r="P96" s="10"/>
      <x:c r="Q96" s="10"/>
    </x:row>
    <x:row r="97" ht="28" customHeight="1">
      <x:c r="A97" s="13"/>
      <x:c r="B97" s="12"/>
      <x:c r="C97" s="10"/>
      <x:c r="D97" s="13"/>
      <x:c r="E97" s="10"/>
      <x:c r="F97" s="10"/>
      <x:c r="G97" s="10"/>
      <x:c r="H97" s="10"/>
      <x:c r="I97" s="10"/>
      <x:c r="J97" s="12"/>
      <x:c r="K97" s="10"/>
      <x:c r="L97" s="12"/>
      <x:c r="M97" s="11" t="str">
        <x:f>IF(A97="",IF(C97="","","Falta ID"),IF(COUNTIFS($A$11:$A$210,A97)&gt;1,"ID duplicado",IF(AND(OR(H97="Contratado",H97="Implementación",H97="Entregado"),NOT(ISNUMBER(N97))),"Completar cierre",IF(H97="Entregado",IF(NOT(ISNUMBER(O97)),"Completar cierre","Cerrado"),IF(H97="Descartado",IF(P97="","Completar cierre","Cerrado"),IF(OR(C97="",D97="",E97="",F97="",G97="",H97="",I97="",K97="",L97="",B97=""),"Completar gestión",IF(NOT(ISNUMBER(L97)),"Revisar fecha",IF(L97&lt;TODAY(),"Vencido",IF(L97=TODAY(),"Hoy","Programado")))))))))</x:f>
      </x:c>
      <x:c r="N97" s="12"/>
      <x:c r="O97" s="12"/>
      <x:c r="P97" s="10"/>
      <x:c r="Q97" s="10"/>
    </x:row>
    <x:row r="98" ht="28" customHeight="1">
      <x:c r="A98" s="13"/>
      <x:c r="B98" s="12"/>
      <x:c r="C98" s="10"/>
      <x:c r="D98" s="13"/>
      <x:c r="E98" s="10"/>
      <x:c r="F98" s="10"/>
      <x:c r="G98" s="10"/>
      <x:c r="H98" s="10"/>
      <x:c r="I98" s="10"/>
      <x:c r="J98" s="12"/>
      <x:c r="K98" s="10"/>
      <x:c r="L98" s="12"/>
      <x:c r="M98" s="11" t="str">
        <x:f>IF(A98="",IF(C98="","","Falta ID"),IF(COUNTIFS($A$11:$A$210,A98)&gt;1,"ID duplicado",IF(AND(OR(H98="Contratado",H98="Implementación",H98="Entregado"),NOT(ISNUMBER(N98))),"Completar cierre",IF(H98="Entregado",IF(NOT(ISNUMBER(O98)),"Completar cierre","Cerrado"),IF(H98="Descartado",IF(P98="","Completar cierre","Cerrado"),IF(OR(C98="",D98="",E98="",F98="",G98="",H98="",I98="",K98="",L98="",B98=""),"Completar gestión",IF(NOT(ISNUMBER(L98)),"Revisar fecha",IF(L98&lt;TODAY(),"Vencido",IF(L98=TODAY(),"Hoy","Programado")))))))))</x:f>
      </x:c>
      <x:c r="N98" s="12"/>
      <x:c r="O98" s="12"/>
      <x:c r="P98" s="10"/>
      <x:c r="Q98" s="10"/>
    </x:row>
    <x:row r="99" ht="28" customHeight="1">
      <x:c r="A99" s="13"/>
      <x:c r="B99" s="12"/>
      <x:c r="C99" s="10"/>
      <x:c r="D99" s="13"/>
      <x:c r="E99" s="10"/>
      <x:c r="F99" s="10"/>
      <x:c r="G99" s="10"/>
      <x:c r="H99" s="10"/>
      <x:c r="I99" s="10"/>
      <x:c r="J99" s="12"/>
      <x:c r="K99" s="10"/>
      <x:c r="L99" s="12"/>
      <x:c r="M99" s="11" t="str">
        <x:f>IF(A99="",IF(C99="","","Falta ID"),IF(COUNTIFS($A$11:$A$210,A99)&gt;1,"ID duplicado",IF(AND(OR(H99="Contratado",H99="Implementación",H99="Entregado"),NOT(ISNUMBER(N99))),"Completar cierre",IF(H99="Entregado",IF(NOT(ISNUMBER(O99)),"Completar cierre","Cerrado"),IF(H99="Descartado",IF(P99="","Completar cierre","Cerrado"),IF(OR(C99="",D99="",E99="",F99="",G99="",H99="",I99="",K99="",L99="",B99=""),"Completar gestión",IF(NOT(ISNUMBER(L99)),"Revisar fecha",IF(L99&lt;TODAY(),"Vencido",IF(L99=TODAY(),"Hoy","Programado")))))))))</x:f>
      </x:c>
      <x:c r="N99" s="12"/>
      <x:c r="O99" s="12"/>
      <x:c r="P99" s="10"/>
      <x:c r="Q99" s="10"/>
    </x:row>
    <x:row r="100" ht="28" customHeight="1">
      <x:c r="A100" s="13"/>
      <x:c r="B100" s="12"/>
      <x:c r="C100" s="10"/>
      <x:c r="D100" s="13"/>
      <x:c r="E100" s="10"/>
      <x:c r="F100" s="10"/>
      <x:c r="G100" s="10"/>
      <x:c r="H100" s="10"/>
      <x:c r="I100" s="10"/>
      <x:c r="J100" s="12"/>
      <x:c r="K100" s="10"/>
      <x:c r="L100" s="12"/>
      <x:c r="M100" s="11" t="str">
        <x:f>IF(A100="",IF(C100="","","Falta ID"),IF(COUNTIFS($A$11:$A$210,A100)&gt;1,"ID duplicado",IF(AND(OR(H100="Contratado",H100="Implementación",H100="Entregado"),NOT(ISNUMBER(N100))),"Completar cierre",IF(H100="Entregado",IF(NOT(ISNUMBER(O100)),"Completar cierre","Cerrado"),IF(H100="Descartado",IF(P100="","Completar cierre","Cerrado"),IF(OR(C100="",D100="",E100="",F100="",G100="",H100="",I100="",K100="",L100="",B100=""),"Completar gestión",IF(NOT(ISNUMBER(L100)),"Revisar fecha",IF(L100&lt;TODAY(),"Vencido",IF(L100=TODAY(),"Hoy","Programado")))))))))</x:f>
      </x:c>
      <x:c r="N100" s="12"/>
      <x:c r="O100" s="12"/>
      <x:c r="P100" s="10"/>
      <x:c r="Q100" s="10"/>
    </x:row>
    <x:row r="101" ht="28" customHeight="1">
      <x:c r="A101" s="13"/>
      <x:c r="B101" s="12"/>
      <x:c r="C101" s="10"/>
      <x:c r="D101" s="13"/>
      <x:c r="E101" s="10"/>
      <x:c r="F101" s="10"/>
      <x:c r="G101" s="10"/>
      <x:c r="H101" s="10"/>
      <x:c r="I101" s="10"/>
      <x:c r="J101" s="12"/>
      <x:c r="K101" s="10"/>
      <x:c r="L101" s="12"/>
      <x:c r="M101" s="11" t="str">
        <x:f>IF(A101="",IF(C101="","","Falta ID"),IF(COUNTIFS($A$11:$A$210,A101)&gt;1,"ID duplicado",IF(AND(OR(H101="Contratado",H101="Implementación",H101="Entregado"),NOT(ISNUMBER(N101))),"Completar cierre",IF(H101="Entregado",IF(NOT(ISNUMBER(O101)),"Completar cierre","Cerrado"),IF(H101="Descartado",IF(P101="","Completar cierre","Cerrado"),IF(OR(C101="",D101="",E101="",F101="",G101="",H101="",I101="",K101="",L101="",B101=""),"Completar gestión",IF(NOT(ISNUMBER(L101)),"Revisar fecha",IF(L101&lt;TODAY(),"Vencido",IF(L101=TODAY(),"Hoy","Programado")))))))))</x:f>
      </x:c>
      <x:c r="N101" s="12"/>
      <x:c r="O101" s="12"/>
      <x:c r="P101" s="10"/>
      <x:c r="Q101" s="10"/>
    </x:row>
    <x:row r="102" ht="28" customHeight="1">
      <x:c r="A102" s="13"/>
      <x:c r="B102" s="12"/>
      <x:c r="C102" s="10"/>
      <x:c r="D102" s="13"/>
      <x:c r="E102" s="10"/>
      <x:c r="F102" s="10"/>
      <x:c r="G102" s="10"/>
      <x:c r="H102" s="10"/>
      <x:c r="I102" s="10"/>
      <x:c r="J102" s="12"/>
      <x:c r="K102" s="10"/>
      <x:c r="L102" s="12"/>
      <x:c r="M102" s="11" t="str">
        <x:f>IF(A102="",IF(C102="","","Falta ID"),IF(COUNTIFS($A$11:$A$210,A102)&gt;1,"ID duplicado",IF(AND(OR(H102="Contratado",H102="Implementación",H102="Entregado"),NOT(ISNUMBER(N102))),"Completar cierre",IF(H102="Entregado",IF(NOT(ISNUMBER(O102)),"Completar cierre","Cerrado"),IF(H102="Descartado",IF(P102="","Completar cierre","Cerrado"),IF(OR(C102="",D102="",E102="",F102="",G102="",H102="",I102="",K102="",L102="",B102=""),"Completar gestión",IF(NOT(ISNUMBER(L102)),"Revisar fecha",IF(L102&lt;TODAY(),"Vencido",IF(L102=TODAY(),"Hoy","Programado")))))))))</x:f>
      </x:c>
      <x:c r="N102" s="12"/>
      <x:c r="O102" s="12"/>
      <x:c r="P102" s="10"/>
      <x:c r="Q102" s="10"/>
    </x:row>
    <x:row r="103" ht="28" customHeight="1">
      <x:c r="A103" s="13"/>
      <x:c r="B103" s="12"/>
      <x:c r="C103" s="10"/>
      <x:c r="D103" s="13"/>
      <x:c r="E103" s="10"/>
      <x:c r="F103" s="10"/>
      <x:c r="G103" s="10"/>
      <x:c r="H103" s="10"/>
      <x:c r="I103" s="10"/>
      <x:c r="J103" s="12"/>
      <x:c r="K103" s="10"/>
      <x:c r="L103" s="12"/>
      <x:c r="M103" s="11" t="str">
        <x:f>IF(A103="",IF(C103="","","Falta ID"),IF(COUNTIFS($A$11:$A$210,A103)&gt;1,"ID duplicado",IF(AND(OR(H103="Contratado",H103="Implementación",H103="Entregado"),NOT(ISNUMBER(N103))),"Completar cierre",IF(H103="Entregado",IF(NOT(ISNUMBER(O103)),"Completar cierre","Cerrado"),IF(H103="Descartado",IF(P103="","Completar cierre","Cerrado"),IF(OR(C103="",D103="",E103="",F103="",G103="",H103="",I103="",K103="",L103="",B103=""),"Completar gestión",IF(NOT(ISNUMBER(L103)),"Revisar fecha",IF(L103&lt;TODAY(),"Vencido",IF(L103=TODAY(),"Hoy","Programado")))))))))</x:f>
      </x:c>
      <x:c r="N103" s="12"/>
      <x:c r="O103" s="12"/>
      <x:c r="P103" s="10"/>
      <x:c r="Q103" s="10"/>
    </x:row>
    <x:row r="104" ht="28" customHeight="1">
      <x:c r="A104" s="13"/>
      <x:c r="B104" s="12"/>
      <x:c r="C104" s="10"/>
      <x:c r="D104" s="13"/>
      <x:c r="E104" s="10"/>
      <x:c r="F104" s="10"/>
      <x:c r="G104" s="10"/>
      <x:c r="H104" s="10"/>
      <x:c r="I104" s="10"/>
      <x:c r="J104" s="12"/>
      <x:c r="K104" s="10"/>
      <x:c r="L104" s="12"/>
      <x:c r="M104" s="11" t="str">
        <x:f>IF(A104="",IF(C104="","","Falta ID"),IF(COUNTIFS($A$11:$A$210,A104)&gt;1,"ID duplicado",IF(AND(OR(H104="Contratado",H104="Implementación",H104="Entregado"),NOT(ISNUMBER(N104))),"Completar cierre",IF(H104="Entregado",IF(NOT(ISNUMBER(O104)),"Completar cierre","Cerrado"),IF(H104="Descartado",IF(P104="","Completar cierre","Cerrado"),IF(OR(C104="",D104="",E104="",F104="",G104="",H104="",I104="",K104="",L104="",B104=""),"Completar gestión",IF(NOT(ISNUMBER(L104)),"Revisar fecha",IF(L104&lt;TODAY(),"Vencido",IF(L104=TODAY(),"Hoy","Programado")))))))))</x:f>
      </x:c>
      <x:c r="N104" s="12"/>
      <x:c r="O104" s="12"/>
      <x:c r="P104" s="10"/>
      <x:c r="Q104" s="10"/>
    </x:row>
    <x:row r="105" ht="28" customHeight="1">
      <x:c r="A105" s="13"/>
      <x:c r="B105" s="12"/>
      <x:c r="C105" s="10"/>
      <x:c r="D105" s="13"/>
      <x:c r="E105" s="10"/>
      <x:c r="F105" s="10"/>
      <x:c r="G105" s="10"/>
      <x:c r="H105" s="10"/>
      <x:c r="I105" s="10"/>
      <x:c r="J105" s="12"/>
      <x:c r="K105" s="10"/>
      <x:c r="L105" s="12"/>
      <x:c r="M105" s="11" t="str">
        <x:f>IF(A105="",IF(C105="","","Falta ID"),IF(COUNTIFS($A$11:$A$210,A105)&gt;1,"ID duplicado",IF(AND(OR(H105="Contratado",H105="Implementación",H105="Entregado"),NOT(ISNUMBER(N105))),"Completar cierre",IF(H105="Entregado",IF(NOT(ISNUMBER(O105)),"Completar cierre","Cerrado"),IF(H105="Descartado",IF(P105="","Completar cierre","Cerrado"),IF(OR(C105="",D105="",E105="",F105="",G105="",H105="",I105="",K105="",L105="",B105=""),"Completar gestión",IF(NOT(ISNUMBER(L105)),"Revisar fecha",IF(L105&lt;TODAY(),"Vencido",IF(L105=TODAY(),"Hoy","Programado")))))))))</x:f>
      </x:c>
      <x:c r="N105" s="12"/>
      <x:c r="O105" s="12"/>
      <x:c r="P105" s="10"/>
      <x:c r="Q105" s="10"/>
    </x:row>
    <x:row r="106" ht="28" customHeight="1">
      <x:c r="A106" s="13"/>
      <x:c r="B106" s="12"/>
      <x:c r="C106" s="10"/>
      <x:c r="D106" s="13"/>
      <x:c r="E106" s="10"/>
      <x:c r="F106" s="10"/>
      <x:c r="G106" s="10"/>
      <x:c r="H106" s="10"/>
      <x:c r="I106" s="10"/>
      <x:c r="J106" s="12"/>
      <x:c r="K106" s="10"/>
      <x:c r="L106" s="12"/>
      <x:c r="M106" s="11" t="str">
        <x:f>IF(A106="",IF(C106="","","Falta ID"),IF(COUNTIFS($A$11:$A$210,A106)&gt;1,"ID duplicado",IF(AND(OR(H106="Contratado",H106="Implementación",H106="Entregado"),NOT(ISNUMBER(N106))),"Completar cierre",IF(H106="Entregado",IF(NOT(ISNUMBER(O106)),"Completar cierre","Cerrado"),IF(H106="Descartado",IF(P106="","Completar cierre","Cerrado"),IF(OR(C106="",D106="",E106="",F106="",G106="",H106="",I106="",K106="",L106="",B106=""),"Completar gestión",IF(NOT(ISNUMBER(L106)),"Revisar fecha",IF(L106&lt;TODAY(),"Vencido",IF(L106=TODAY(),"Hoy","Programado")))))))))</x:f>
      </x:c>
      <x:c r="N106" s="12"/>
      <x:c r="O106" s="12"/>
      <x:c r="P106" s="10"/>
      <x:c r="Q106" s="10"/>
    </x:row>
    <x:row r="107" ht="28" customHeight="1">
      <x:c r="A107" s="13"/>
      <x:c r="B107" s="12"/>
      <x:c r="C107" s="10"/>
      <x:c r="D107" s="13"/>
      <x:c r="E107" s="10"/>
      <x:c r="F107" s="10"/>
      <x:c r="G107" s="10"/>
      <x:c r="H107" s="10"/>
      <x:c r="I107" s="10"/>
      <x:c r="J107" s="12"/>
      <x:c r="K107" s="10"/>
      <x:c r="L107" s="12"/>
      <x:c r="M107" s="11" t="str">
        <x:f>IF(A107="",IF(C107="","","Falta ID"),IF(COUNTIFS($A$11:$A$210,A107)&gt;1,"ID duplicado",IF(AND(OR(H107="Contratado",H107="Implementación",H107="Entregado"),NOT(ISNUMBER(N107))),"Completar cierre",IF(H107="Entregado",IF(NOT(ISNUMBER(O107)),"Completar cierre","Cerrado"),IF(H107="Descartado",IF(P107="","Completar cierre","Cerrado"),IF(OR(C107="",D107="",E107="",F107="",G107="",H107="",I107="",K107="",L107="",B107=""),"Completar gestión",IF(NOT(ISNUMBER(L107)),"Revisar fecha",IF(L107&lt;TODAY(),"Vencido",IF(L107=TODAY(),"Hoy","Programado")))))))))</x:f>
      </x:c>
      <x:c r="N107" s="12"/>
      <x:c r="O107" s="12"/>
      <x:c r="P107" s="10"/>
      <x:c r="Q107" s="10"/>
    </x:row>
    <x:row r="108" ht="28" customHeight="1">
      <x:c r="A108" s="13"/>
      <x:c r="B108" s="12"/>
      <x:c r="C108" s="10"/>
      <x:c r="D108" s="13"/>
      <x:c r="E108" s="10"/>
      <x:c r="F108" s="10"/>
      <x:c r="G108" s="10"/>
      <x:c r="H108" s="10"/>
      <x:c r="I108" s="10"/>
      <x:c r="J108" s="12"/>
      <x:c r="K108" s="10"/>
      <x:c r="L108" s="12"/>
      <x:c r="M108" s="11" t="str">
        <x:f>IF(A108="",IF(C108="","","Falta ID"),IF(COUNTIFS($A$11:$A$210,A108)&gt;1,"ID duplicado",IF(AND(OR(H108="Contratado",H108="Implementación",H108="Entregado"),NOT(ISNUMBER(N108))),"Completar cierre",IF(H108="Entregado",IF(NOT(ISNUMBER(O108)),"Completar cierre","Cerrado"),IF(H108="Descartado",IF(P108="","Completar cierre","Cerrado"),IF(OR(C108="",D108="",E108="",F108="",G108="",H108="",I108="",K108="",L108="",B108=""),"Completar gestión",IF(NOT(ISNUMBER(L108)),"Revisar fecha",IF(L108&lt;TODAY(),"Vencido",IF(L108=TODAY(),"Hoy","Programado")))))))))</x:f>
      </x:c>
      <x:c r="N108" s="12"/>
      <x:c r="O108" s="12"/>
      <x:c r="P108" s="10"/>
      <x:c r="Q108" s="10"/>
    </x:row>
    <x:row r="109" ht="28" customHeight="1">
      <x:c r="A109" s="13"/>
      <x:c r="B109" s="12"/>
      <x:c r="C109" s="10"/>
      <x:c r="D109" s="13"/>
      <x:c r="E109" s="10"/>
      <x:c r="F109" s="10"/>
      <x:c r="G109" s="10"/>
      <x:c r="H109" s="10"/>
      <x:c r="I109" s="10"/>
      <x:c r="J109" s="12"/>
      <x:c r="K109" s="10"/>
      <x:c r="L109" s="12"/>
      <x:c r="M109" s="11" t="str">
        <x:f>IF(A109="",IF(C109="","","Falta ID"),IF(COUNTIFS($A$11:$A$210,A109)&gt;1,"ID duplicado",IF(AND(OR(H109="Contratado",H109="Implementación",H109="Entregado"),NOT(ISNUMBER(N109))),"Completar cierre",IF(H109="Entregado",IF(NOT(ISNUMBER(O109)),"Completar cierre","Cerrado"),IF(H109="Descartado",IF(P109="","Completar cierre","Cerrado"),IF(OR(C109="",D109="",E109="",F109="",G109="",H109="",I109="",K109="",L109="",B109=""),"Completar gestión",IF(NOT(ISNUMBER(L109)),"Revisar fecha",IF(L109&lt;TODAY(),"Vencido",IF(L109=TODAY(),"Hoy","Programado")))))))))</x:f>
      </x:c>
      <x:c r="N109" s="12"/>
      <x:c r="O109" s="12"/>
      <x:c r="P109" s="10"/>
      <x:c r="Q109" s="10"/>
    </x:row>
    <x:row r="110" ht="28" customHeight="1">
      <x:c r="A110" s="13"/>
      <x:c r="B110" s="12"/>
      <x:c r="C110" s="10"/>
      <x:c r="D110" s="13"/>
      <x:c r="E110" s="10"/>
      <x:c r="F110" s="10"/>
      <x:c r="G110" s="10"/>
      <x:c r="H110" s="10"/>
      <x:c r="I110" s="10"/>
      <x:c r="J110" s="12"/>
      <x:c r="K110" s="10"/>
      <x:c r="L110" s="12"/>
      <x:c r="M110" s="11" t="str">
        <x:f>IF(A110="",IF(C110="","","Falta ID"),IF(COUNTIFS($A$11:$A$210,A110)&gt;1,"ID duplicado",IF(AND(OR(H110="Contratado",H110="Implementación",H110="Entregado"),NOT(ISNUMBER(N110))),"Completar cierre",IF(H110="Entregado",IF(NOT(ISNUMBER(O110)),"Completar cierre","Cerrado"),IF(H110="Descartado",IF(P110="","Completar cierre","Cerrado"),IF(OR(C110="",D110="",E110="",F110="",G110="",H110="",I110="",K110="",L110="",B110=""),"Completar gestión",IF(NOT(ISNUMBER(L110)),"Revisar fecha",IF(L110&lt;TODAY(),"Vencido",IF(L110=TODAY(),"Hoy","Programado")))))))))</x:f>
      </x:c>
      <x:c r="N110" s="12"/>
      <x:c r="O110" s="12"/>
      <x:c r="P110" s="10"/>
      <x:c r="Q110" s="10"/>
    </x:row>
    <x:row r="111" ht="28" customHeight="1">
      <x:c r="A111" s="13"/>
      <x:c r="B111" s="12"/>
      <x:c r="C111" s="10"/>
      <x:c r="D111" s="13"/>
      <x:c r="E111" s="10"/>
      <x:c r="F111" s="10"/>
      <x:c r="G111" s="10"/>
      <x:c r="H111" s="10"/>
      <x:c r="I111" s="10"/>
      <x:c r="J111" s="12"/>
      <x:c r="K111" s="10"/>
      <x:c r="L111" s="12"/>
      <x:c r="M111" s="11" t="str">
        <x:f>IF(A111="",IF(C111="","","Falta ID"),IF(COUNTIFS($A$11:$A$210,A111)&gt;1,"ID duplicado",IF(AND(OR(H111="Contratado",H111="Implementación",H111="Entregado"),NOT(ISNUMBER(N111))),"Completar cierre",IF(H111="Entregado",IF(NOT(ISNUMBER(O111)),"Completar cierre","Cerrado"),IF(H111="Descartado",IF(P111="","Completar cierre","Cerrado"),IF(OR(C111="",D111="",E111="",F111="",G111="",H111="",I111="",K111="",L111="",B111=""),"Completar gestión",IF(NOT(ISNUMBER(L111)),"Revisar fecha",IF(L111&lt;TODAY(),"Vencido",IF(L111=TODAY(),"Hoy","Programado")))))))))</x:f>
      </x:c>
      <x:c r="N111" s="12"/>
      <x:c r="O111" s="12"/>
      <x:c r="P111" s="10"/>
      <x:c r="Q111" s="10"/>
    </x:row>
    <x:row r="112" ht="28" customHeight="1">
      <x:c r="A112" s="13"/>
      <x:c r="B112" s="12"/>
      <x:c r="C112" s="10"/>
      <x:c r="D112" s="13"/>
      <x:c r="E112" s="10"/>
      <x:c r="F112" s="10"/>
      <x:c r="G112" s="10"/>
      <x:c r="H112" s="10"/>
      <x:c r="I112" s="10"/>
      <x:c r="J112" s="12"/>
      <x:c r="K112" s="10"/>
      <x:c r="L112" s="12"/>
      <x:c r="M112" s="11" t="str">
        <x:f>IF(A112="",IF(C112="","","Falta ID"),IF(COUNTIFS($A$11:$A$210,A112)&gt;1,"ID duplicado",IF(AND(OR(H112="Contratado",H112="Implementación",H112="Entregado"),NOT(ISNUMBER(N112))),"Completar cierre",IF(H112="Entregado",IF(NOT(ISNUMBER(O112)),"Completar cierre","Cerrado"),IF(H112="Descartado",IF(P112="","Completar cierre","Cerrado"),IF(OR(C112="",D112="",E112="",F112="",G112="",H112="",I112="",K112="",L112="",B112=""),"Completar gestión",IF(NOT(ISNUMBER(L112)),"Revisar fecha",IF(L112&lt;TODAY(),"Vencido",IF(L112=TODAY(),"Hoy","Programado")))))))))</x:f>
      </x:c>
      <x:c r="N112" s="12"/>
      <x:c r="O112" s="12"/>
      <x:c r="P112" s="10"/>
      <x:c r="Q112" s="10"/>
    </x:row>
    <x:row r="113" ht="28" customHeight="1">
      <x:c r="A113" s="13"/>
      <x:c r="B113" s="12"/>
      <x:c r="C113" s="10"/>
      <x:c r="D113" s="13"/>
      <x:c r="E113" s="10"/>
      <x:c r="F113" s="10"/>
      <x:c r="G113" s="10"/>
      <x:c r="H113" s="10"/>
      <x:c r="I113" s="10"/>
      <x:c r="J113" s="12"/>
      <x:c r="K113" s="10"/>
      <x:c r="L113" s="12"/>
      <x:c r="M113" s="11" t="str">
        <x:f>IF(A113="",IF(C113="","","Falta ID"),IF(COUNTIFS($A$11:$A$210,A113)&gt;1,"ID duplicado",IF(AND(OR(H113="Contratado",H113="Implementación",H113="Entregado"),NOT(ISNUMBER(N113))),"Completar cierre",IF(H113="Entregado",IF(NOT(ISNUMBER(O113)),"Completar cierre","Cerrado"),IF(H113="Descartado",IF(P113="","Completar cierre","Cerrado"),IF(OR(C113="",D113="",E113="",F113="",G113="",H113="",I113="",K113="",L113="",B113=""),"Completar gestión",IF(NOT(ISNUMBER(L113)),"Revisar fecha",IF(L113&lt;TODAY(),"Vencido",IF(L113=TODAY(),"Hoy","Programado")))))))))</x:f>
      </x:c>
      <x:c r="N113" s="12"/>
      <x:c r="O113" s="12"/>
      <x:c r="P113" s="10"/>
      <x:c r="Q113" s="10"/>
    </x:row>
    <x:row r="114" ht="28" customHeight="1">
      <x:c r="A114" s="13"/>
      <x:c r="B114" s="12"/>
      <x:c r="C114" s="10"/>
      <x:c r="D114" s="13"/>
      <x:c r="E114" s="10"/>
      <x:c r="F114" s="10"/>
      <x:c r="G114" s="10"/>
      <x:c r="H114" s="10"/>
      <x:c r="I114" s="10"/>
      <x:c r="J114" s="12"/>
      <x:c r="K114" s="10"/>
      <x:c r="L114" s="12"/>
      <x:c r="M114" s="11" t="str">
        <x:f>IF(A114="",IF(C114="","","Falta ID"),IF(COUNTIFS($A$11:$A$210,A114)&gt;1,"ID duplicado",IF(AND(OR(H114="Contratado",H114="Implementación",H114="Entregado"),NOT(ISNUMBER(N114))),"Completar cierre",IF(H114="Entregado",IF(NOT(ISNUMBER(O114)),"Completar cierre","Cerrado"),IF(H114="Descartado",IF(P114="","Completar cierre","Cerrado"),IF(OR(C114="",D114="",E114="",F114="",G114="",H114="",I114="",K114="",L114="",B114=""),"Completar gestión",IF(NOT(ISNUMBER(L114)),"Revisar fecha",IF(L114&lt;TODAY(),"Vencido",IF(L114=TODAY(),"Hoy","Programado")))))))))</x:f>
      </x:c>
      <x:c r="N114" s="12"/>
      <x:c r="O114" s="12"/>
      <x:c r="P114" s="10"/>
      <x:c r="Q114" s="10"/>
    </x:row>
    <x:row r="115" ht="28" customHeight="1">
      <x:c r="A115" s="13"/>
      <x:c r="B115" s="12"/>
      <x:c r="C115" s="10"/>
      <x:c r="D115" s="13"/>
      <x:c r="E115" s="10"/>
      <x:c r="F115" s="10"/>
      <x:c r="G115" s="10"/>
      <x:c r="H115" s="10"/>
      <x:c r="I115" s="10"/>
      <x:c r="J115" s="12"/>
      <x:c r="K115" s="10"/>
      <x:c r="L115" s="12"/>
      <x:c r="M115" s="11" t="str">
        <x:f>IF(A115="",IF(C115="","","Falta ID"),IF(COUNTIFS($A$11:$A$210,A115)&gt;1,"ID duplicado",IF(AND(OR(H115="Contratado",H115="Implementación",H115="Entregado"),NOT(ISNUMBER(N115))),"Completar cierre",IF(H115="Entregado",IF(NOT(ISNUMBER(O115)),"Completar cierre","Cerrado"),IF(H115="Descartado",IF(P115="","Completar cierre","Cerrado"),IF(OR(C115="",D115="",E115="",F115="",G115="",H115="",I115="",K115="",L115="",B115=""),"Completar gestión",IF(NOT(ISNUMBER(L115)),"Revisar fecha",IF(L115&lt;TODAY(),"Vencido",IF(L115=TODAY(),"Hoy","Programado")))))))))</x:f>
      </x:c>
      <x:c r="N115" s="12"/>
      <x:c r="O115" s="12"/>
      <x:c r="P115" s="10"/>
      <x:c r="Q115" s="10"/>
    </x:row>
    <x:row r="116" ht="28" customHeight="1">
      <x:c r="A116" s="13"/>
      <x:c r="B116" s="12"/>
      <x:c r="C116" s="10"/>
      <x:c r="D116" s="13"/>
      <x:c r="E116" s="10"/>
      <x:c r="F116" s="10"/>
      <x:c r="G116" s="10"/>
      <x:c r="H116" s="10"/>
      <x:c r="I116" s="10"/>
      <x:c r="J116" s="12"/>
      <x:c r="K116" s="10"/>
      <x:c r="L116" s="12"/>
      <x:c r="M116" s="11" t="str">
        <x:f>IF(A116="",IF(C116="","","Falta ID"),IF(COUNTIFS($A$11:$A$210,A116)&gt;1,"ID duplicado",IF(AND(OR(H116="Contratado",H116="Implementación",H116="Entregado"),NOT(ISNUMBER(N116))),"Completar cierre",IF(H116="Entregado",IF(NOT(ISNUMBER(O116)),"Completar cierre","Cerrado"),IF(H116="Descartado",IF(P116="","Completar cierre","Cerrado"),IF(OR(C116="",D116="",E116="",F116="",G116="",H116="",I116="",K116="",L116="",B116=""),"Completar gestión",IF(NOT(ISNUMBER(L116)),"Revisar fecha",IF(L116&lt;TODAY(),"Vencido",IF(L116=TODAY(),"Hoy","Programado")))))))))</x:f>
      </x:c>
      <x:c r="N116" s="12"/>
      <x:c r="O116" s="12"/>
      <x:c r="P116" s="10"/>
      <x:c r="Q116" s="10"/>
    </x:row>
    <x:row r="117" ht="28" customHeight="1">
      <x:c r="A117" s="13"/>
      <x:c r="B117" s="12"/>
      <x:c r="C117" s="10"/>
      <x:c r="D117" s="13"/>
      <x:c r="E117" s="10"/>
      <x:c r="F117" s="10"/>
      <x:c r="G117" s="10"/>
      <x:c r="H117" s="10"/>
      <x:c r="I117" s="10"/>
      <x:c r="J117" s="12"/>
      <x:c r="K117" s="10"/>
      <x:c r="L117" s="12"/>
      <x:c r="M117" s="11" t="str">
        <x:f>IF(A117="",IF(C117="","","Falta ID"),IF(COUNTIFS($A$11:$A$210,A117)&gt;1,"ID duplicado",IF(AND(OR(H117="Contratado",H117="Implementación",H117="Entregado"),NOT(ISNUMBER(N117))),"Completar cierre",IF(H117="Entregado",IF(NOT(ISNUMBER(O117)),"Completar cierre","Cerrado"),IF(H117="Descartado",IF(P117="","Completar cierre","Cerrado"),IF(OR(C117="",D117="",E117="",F117="",G117="",H117="",I117="",K117="",L117="",B117=""),"Completar gestión",IF(NOT(ISNUMBER(L117)),"Revisar fecha",IF(L117&lt;TODAY(),"Vencido",IF(L117=TODAY(),"Hoy","Programado")))))))))</x:f>
      </x:c>
      <x:c r="N117" s="12"/>
      <x:c r="O117" s="12"/>
      <x:c r="P117" s="10"/>
      <x:c r="Q117" s="10"/>
    </x:row>
    <x:row r="118" ht="28" customHeight="1">
      <x:c r="A118" s="13"/>
      <x:c r="B118" s="12"/>
      <x:c r="C118" s="10"/>
      <x:c r="D118" s="13"/>
      <x:c r="E118" s="10"/>
      <x:c r="F118" s="10"/>
      <x:c r="G118" s="10"/>
      <x:c r="H118" s="10"/>
      <x:c r="I118" s="10"/>
      <x:c r="J118" s="12"/>
      <x:c r="K118" s="10"/>
      <x:c r="L118" s="12"/>
      <x:c r="M118" s="11" t="str">
        <x:f>IF(A118="",IF(C118="","","Falta ID"),IF(COUNTIFS($A$11:$A$210,A118)&gt;1,"ID duplicado",IF(AND(OR(H118="Contratado",H118="Implementación",H118="Entregado"),NOT(ISNUMBER(N118))),"Completar cierre",IF(H118="Entregado",IF(NOT(ISNUMBER(O118)),"Completar cierre","Cerrado"),IF(H118="Descartado",IF(P118="","Completar cierre","Cerrado"),IF(OR(C118="",D118="",E118="",F118="",G118="",H118="",I118="",K118="",L118="",B118=""),"Completar gestión",IF(NOT(ISNUMBER(L118)),"Revisar fecha",IF(L118&lt;TODAY(),"Vencido",IF(L118=TODAY(),"Hoy","Programado")))))))))</x:f>
      </x:c>
      <x:c r="N118" s="12"/>
      <x:c r="O118" s="12"/>
      <x:c r="P118" s="10"/>
      <x:c r="Q118" s="10"/>
    </x:row>
    <x:row r="119" ht="28" customHeight="1">
      <x:c r="A119" s="13"/>
      <x:c r="B119" s="12"/>
      <x:c r="C119" s="10"/>
      <x:c r="D119" s="13"/>
      <x:c r="E119" s="10"/>
      <x:c r="F119" s="10"/>
      <x:c r="G119" s="10"/>
      <x:c r="H119" s="10"/>
      <x:c r="I119" s="10"/>
      <x:c r="J119" s="12"/>
      <x:c r="K119" s="10"/>
      <x:c r="L119" s="12"/>
      <x:c r="M119" s="11" t="str">
        <x:f>IF(A119="",IF(C119="","","Falta ID"),IF(COUNTIFS($A$11:$A$210,A119)&gt;1,"ID duplicado",IF(AND(OR(H119="Contratado",H119="Implementación",H119="Entregado"),NOT(ISNUMBER(N119))),"Completar cierre",IF(H119="Entregado",IF(NOT(ISNUMBER(O119)),"Completar cierre","Cerrado"),IF(H119="Descartado",IF(P119="","Completar cierre","Cerrado"),IF(OR(C119="",D119="",E119="",F119="",G119="",H119="",I119="",K119="",L119="",B119=""),"Completar gestión",IF(NOT(ISNUMBER(L119)),"Revisar fecha",IF(L119&lt;TODAY(),"Vencido",IF(L119=TODAY(),"Hoy","Programado")))))))))</x:f>
      </x:c>
      <x:c r="N119" s="12"/>
      <x:c r="O119" s="12"/>
      <x:c r="P119" s="10"/>
      <x:c r="Q119" s="10"/>
    </x:row>
    <x:row r="120" ht="28" customHeight="1">
      <x:c r="A120" s="13"/>
      <x:c r="B120" s="12"/>
      <x:c r="C120" s="10"/>
      <x:c r="D120" s="13"/>
      <x:c r="E120" s="10"/>
      <x:c r="F120" s="10"/>
      <x:c r="G120" s="10"/>
      <x:c r="H120" s="10"/>
      <x:c r="I120" s="10"/>
      <x:c r="J120" s="12"/>
      <x:c r="K120" s="10"/>
      <x:c r="L120" s="12"/>
      <x:c r="M120" s="11" t="str">
        <x:f>IF(A120="",IF(C120="","","Falta ID"),IF(COUNTIFS($A$11:$A$210,A120)&gt;1,"ID duplicado",IF(AND(OR(H120="Contratado",H120="Implementación",H120="Entregado"),NOT(ISNUMBER(N120))),"Completar cierre",IF(H120="Entregado",IF(NOT(ISNUMBER(O120)),"Completar cierre","Cerrado"),IF(H120="Descartado",IF(P120="","Completar cierre","Cerrado"),IF(OR(C120="",D120="",E120="",F120="",G120="",H120="",I120="",K120="",L120="",B120=""),"Completar gestión",IF(NOT(ISNUMBER(L120)),"Revisar fecha",IF(L120&lt;TODAY(),"Vencido",IF(L120=TODAY(),"Hoy","Programado")))))))))</x:f>
      </x:c>
      <x:c r="N120" s="12"/>
      <x:c r="O120" s="12"/>
      <x:c r="P120" s="10"/>
      <x:c r="Q120" s="10"/>
    </x:row>
    <x:row r="121" ht="28" customHeight="1">
      <x:c r="A121" s="13"/>
      <x:c r="B121" s="12"/>
      <x:c r="C121" s="10"/>
      <x:c r="D121" s="13"/>
      <x:c r="E121" s="10"/>
      <x:c r="F121" s="10"/>
      <x:c r="G121" s="10"/>
      <x:c r="H121" s="10"/>
      <x:c r="I121" s="10"/>
      <x:c r="J121" s="12"/>
      <x:c r="K121" s="10"/>
      <x:c r="L121" s="12"/>
      <x:c r="M121" s="11" t="str">
        <x:f>IF(A121="",IF(C121="","","Falta ID"),IF(COUNTIFS($A$11:$A$210,A121)&gt;1,"ID duplicado",IF(AND(OR(H121="Contratado",H121="Implementación",H121="Entregado"),NOT(ISNUMBER(N121))),"Completar cierre",IF(H121="Entregado",IF(NOT(ISNUMBER(O121)),"Completar cierre","Cerrado"),IF(H121="Descartado",IF(P121="","Completar cierre","Cerrado"),IF(OR(C121="",D121="",E121="",F121="",G121="",H121="",I121="",K121="",L121="",B121=""),"Completar gestión",IF(NOT(ISNUMBER(L121)),"Revisar fecha",IF(L121&lt;TODAY(),"Vencido",IF(L121=TODAY(),"Hoy","Programado")))))))))</x:f>
      </x:c>
      <x:c r="N121" s="12"/>
      <x:c r="O121" s="12"/>
      <x:c r="P121" s="10"/>
      <x:c r="Q121" s="10"/>
    </x:row>
    <x:row r="122" ht="28" customHeight="1">
      <x:c r="A122" s="13"/>
      <x:c r="B122" s="12"/>
      <x:c r="C122" s="10"/>
      <x:c r="D122" s="13"/>
      <x:c r="E122" s="10"/>
      <x:c r="F122" s="10"/>
      <x:c r="G122" s="10"/>
      <x:c r="H122" s="10"/>
      <x:c r="I122" s="10"/>
      <x:c r="J122" s="12"/>
      <x:c r="K122" s="10"/>
      <x:c r="L122" s="12"/>
      <x:c r="M122" s="11" t="str">
        <x:f>IF(A122="",IF(C122="","","Falta ID"),IF(COUNTIFS($A$11:$A$210,A122)&gt;1,"ID duplicado",IF(AND(OR(H122="Contratado",H122="Implementación",H122="Entregado"),NOT(ISNUMBER(N122))),"Completar cierre",IF(H122="Entregado",IF(NOT(ISNUMBER(O122)),"Completar cierre","Cerrado"),IF(H122="Descartado",IF(P122="","Completar cierre","Cerrado"),IF(OR(C122="",D122="",E122="",F122="",G122="",H122="",I122="",K122="",L122="",B122=""),"Completar gestión",IF(NOT(ISNUMBER(L122)),"Revisar fecha",IF(L122&lt;TODAY(),"Vencido",IF(L122=TODAY(),"Hoy","Programado")))))))))</x:f>
      </x:c>
      <x:c r="N122" s="12"/>
      <x:c r="O122" s="12"/>
      <x:c r="P122" s="10"/>
      <x:c r="Q122" s="10"/>
    </x:row>
    <x:row r="123" ht="28" customHeight="1">
      <x:c r="A123" s="13"/>
      <x:c r="B123" s="12"/>
      <x:c r="C123" s="10"/>
      <x:c r="D123" s="13"/>
      <x:c r="E123" s="10"/>
      <x:c r="F123" s="10"/>
      <x:c r="G123" s="10"/>
      <x:c r="H123" s="10"/>
      <x:c r="I123" s="10"/>
      <x:c r="J123" s="12"/>
      <x:c r="K123" s="10"/>
      <x:c r="L123" s="12"/>
      <x:c r="M123" s="11" t="str">
        <x:f>IF(A123="",IF(C123="","","Falta ID"),IF(COUNTIFS($A$11:$A$210,A123)&gt;1,"ID duplicado",IF(AND(OR(H123="Contratado",H123="Implementación",H123="Entregado"),NOT(ISNUMBER(N123))),"Completar cierre",IF(H123="Entregado",IF(NOT(ISNUMBER(O123)),"Completar cierre","Cerrado"),IF(H123="Descartado",IF(P123="","Completar cierre","Cerrado"),IF(OR(C123="",D123="",E123="",F123="",G123="",H123="",I123="",K123="",L123="",B123=""),"Completar gestión",IF(NOT(ISNUMBER(L123)),"Revisar fecha",IF(L123&lt;TODAY(),"Vencido",IF(L123=TODAY(),"Hoy","Programado")))))))))</x:f>
      </x:c>
      <x:c r="N123" s="12"/>
      <x:c r="O123" s="12"/>
      <x:c r="P123" s="10"/>
      <x:c r="Q123" s="10"/>
    </x:row>
    <x:row r="124" ht="28" customHeight="1">
      <x:c r="A124" s="13"/>
      <x:c r="B124" s="12"/>
      <x:c r="C124" s="10"/>
      <x:c r="D124" s="13"/>
      <x:c r="E124" s="10"/>
      <x:c r="F124" s="10"/>
      <x:c r="G124" s="10"/>
      <x:c r="H124" s="10"/>
      <x:c r="I124" s="10"/>
      <x:c r="J124" s="12"/>
      <x:c r="K124" s="10"/>
      <x:c r="L124" s="12"/>
      <x:c r="M124" s="11" t="str">
        <x:f>IF(A124="",IF(C124="","","Falta ID"),IF(COUNTIFS($A$11:$A$210,A124)&gt;1,"ID duplicado",IF(AND(OR(H124="Contratado",H124="Implementación",H124="Entregado"),NOT(ISNUMBER(N124))),"Completar cierre",IF(H124="Entregado",IF(NOT(ISNUMBER(O124)),"Completar cierre","Cerrado"),IF(H124="Descartado",IF(P124="","Completar cierre","Cerrado"),IF(OR(C124="",D124="",E124="",F124="",G124="",H124="",I124="",K124="",L124="",B124=""),"Completar gestión",IF(NOT(ISNUMBER(L124)),"Revisar fecha",IF(L124&lt;TODAY(),"Vencido",IF(L124=TODAY(),"Hoy","Programado")))))))))</x:f>
      </x:c>
      <x:c r="N124" s="12"/>
      <x:c r="O124" s="12"/>
      <x:c r="P124" s="10"/>
      <x:c r="Q124" s="10"/>
    </x:row>
    <x:row r="125" ht="28" customHeight="1">
      <x:c r="A125" s="13"/>
      <x:c r="B125" s="12"/>
      <x:c r="C125" s="10"/>
      <x:c r="D125" s="13"/>
      <x:c r="E125" s="10"/>
      <x:c r="F125" s="10"/>
      <x:c r="G125" s="10"/>
      <x:c r="H125" s="10"/>
      <x:c r="I125" s="10"/>
      <x:c r="J125" s="12"/>
      <x:c r="K125" s="10"/>
      <x:c r="L125" s="12"/>
      <x:c r="M125" s="11" t="str">
        <x:f>IF(A125="",IF(C125="","","Falta ID"),IF(COUNTIFS($A$11:$A$210,A125)&gt;1,"ID duplicado",IF(AND(OR(H125="Contratado",H125="Implementación",H125="Entregado"),NOT(ISNUMBER(N125))),"Completar cierre",IF(H125="Entregado",IF(NOT(ISNUMBER(O125)),"Completar cierre","Cerrado"),IF(H125="Descartado",IF(P125="","Completar cierre","Cerrado"),IF(OR(C125="",D125="",E125="",F125="",G125="",H125="",I125="",K125="",L125="",B125=""),"Completar gestión",IF(NOT(ISNUMBER(L125)),"Revisar fecha",IF(L125&lt;TODAY(),"Vencido",IF(L125=TODAY(),"Hoy","Programado")))))))))</x:f>
      </x:c>
      <x:c r="N125" s="12"/>
      <x:c r="O125" s="12"/>
      <x:c r="P125" s="10"/>
      <x:c r="Q125" s="10"/>
    </x:row>
    <x:row r="126" ht="28" customHeight="1">
      <x:c r="A126" s="13"/>
      <x:c r="B126" s="12"/>
      <x:c r="C126" s="10"/>
      <x:c r="D126" s="13"/>
      <x:c r="E126" s="10"/>
      <x:c r="F126" s="10"/>
      <x:c r="G126" s="10"/>
      <x:c r="H126" s="10"/>
      <x:c r="I126" s="10"/>
      <x:c r="J126" s="12"/>
      <x:c r="K126" s="10"/>
      <x:c r="L126" s="12"/>
      <x:c r="M126" s="11" t="str">
        <x:f>IF(A126="",IF(C126="","","Falta ID"),IF(COUNTIFS($A$11:$A$210,A126)&gt;1,"ID duplicado",IF(AND(OR(H126="Contratado",H126="Implementación",H126="Entregado"),NOT(ISNUMBER(N126))),"Completar cierre",IF(H126="Entregado",IF(NOT(ISNUMBER(O126)),"Completar cierre","Cerrado"),IF(H126="Descartado",IF(P126="","Completar cierre","Cerrado"),IF(OR(C126="",D126="",E126="",F126="",G126="",H126="",I126="",K126="",L126="",B126=""),"Completar gestión",IF(NOT(ISNUMBER(L126)),"Revisar fecha",IF(L126&lt;TODAY(),"Vencido",IF(L126=TODAY(),"Hoy","Programado")))))))))</x:f>
      </x:c>
      <x:c r="N126" s="12"/>
      <x:c r="O126" s="12"/>
      <x:c r="P126" s="10"/>
      <x:c r="Q126" s="10"/>
    </x:row>
    <x:row r="127" ht="28" customHeight="1">
      <x:c r="A127" s="13"/>
      <x:c r="B127" s="12"/>
      <x:c r="C127" s="10"/>
      <x:c r="D127" s="13"/>
      <x:c r="E127" s="10"/>
      <x:c r="F127" s="10"/>
      <x:c r="G127" s="10"/>
      <x:c r="H127" s="10"/>
      <x:c r="I127" s="10"/>
      <x:c r="J127" s="12"/>
      <x:c r="K127" s="10"/>
      <x:c r="L127" s="12"/>
      <x:c r="M127" s="11" t="str">
        <x:f>IF(A127="",IF(C127="","","Falta ID"),IF(COUNTIFS($A$11:$A$210,A127)&gt;1,"ID duplicado",IF(AND(OR(H127="Contratado",H127="Implementación",H127="Entregado"),NOT(ISNUMBER(N127))),"Completar cierre",IF(H127="Entregado",IF(NOT(ISNUMBER(O127)),"Completar cierre","Cerrado"),IF(H127="Descartado",IF(P127="","Completar cierre","Cerrado"),IF(OR(C127="",D127="",E127="",F127="",G127="",H127="",I127="",K127="",L127="",B127=""),"Completar gestión",IF(NOT(ISNUMBER(L127)),"Revisar fecha",IF(L127&lt;TODAY(),"Vencido",IF(L127=TODAY(),"Hoy","Programado")))))))))</x:f>
      </x:c>
      <x:c r="N127" s="12"/>
      <x:c r="O127" s="12"/>
      <x:c r="P127" s="10"/>
      <x:c r="Q127" s="10"/>
    </x:row>
    <x:row r="128" ht="28" customHeight="1">
      <x:c r="A128" s="13"/>
      <x:c r="B128" s="12"/>
      <x:c r="C128" s="10"/>
      <x:c r="D128" s="13"/>
      <x:c r="E128" s="10"/>
      <x:c r="F128" s="10"/>
      <x:c r="G128" s="10"/>
      <x:c r="H128" s="10"/>
      <x:c r="I128" s="10"/>
      <x:c r="J128" s="12"/>
      <x:c r="K128" s="10"/>
      <x:c r="L128" s="12"/>
      <x:c r="M128" s="11" t="str">
        <x:f>IF(A128="",IF(C128="","","Falta ID"),IF(COUNTIFS($A$11:$A$210,A128)&gt;1,"ID duplicado",IF(AND(OR(H128="Contratado",H128="Implementación",H128="Entregado"),NOT(ISNUMBER(N128))),"Completar cierre",IF(H128="Entregado",IF(NOT(ISNUMBER(O128)),"Completar cierre","Cerrado"),IF(H128="Descartado",IF(P128="","Completar cierre","Cerrado"),IF(OR(C128="",D128="",E128="",F128="",G128="",H128="",I128="",K128="",L128="",B128=""),"Completar gestión",IF(NOT(ISNUMBER(L128)),"Revisar fecha",IF(L128&lt;TODAY(),"Vencido",IF(L128=TODAY(),"Hoy","Programado")))))))))</x:f>
      </x:c>
      <x:c r="N128" s="12"/>
      <x:c r="O128" s="12"/>
      <x:c r="P128" s="10"/>
      <x:c r="Q128" s="10"/>
    </x:row>
    <x:row r="129" ht="28" customHeight="1">
      <x:c r="A129" s="13"/>
      <x:c r="B129" s="12"/>
      <x:c r="C129" s="10"/>
      <x:c r="D129" s="13"/>
      <x:c r="E129" s="10"/>
      <x:c r="F129" s="10"/>
      <x:c r="G129" s="10"/>
      <x:c r="H129" s="10"/>
      <x:c r="I129" s="10"/>
      <x:c r="J129" s="12"/>
      <x:c r="K129" s="10"/>
      <x:c r="L129" s="12"/>
      <x:c r="M129" s="11" t="str">
        <x:f>IF(A129="",IF(C129="","","Falta ID"),IF(COUNTIFS($A$11:$A$210,A129)&gt;1,"ID duplicado",IF(AND(OR(H129="Contratado",H129="Implementación",H129="Entregado"),NOT(ISNUMBER(N129))),"Completar cierre",IF(H129="Entregado",IF(NOT(ISNUMBER(O129)),"Completar cierre","Cerrado"),IF(H129="Descartado",IF(P129="","Completar cierre","Cerrado"),IF(OR(C129="",D129="",E129="",F129="",G129="",H129="",I129="",K129="",L129="",B129=""),"Completar gestión",IF(NOT(ISNUMBER(L129)),"Revisar fecha",IF(L129&lt;TODAY(),"Vencido",IF(L129=TODAY(),"Hoy","Programado")))))))))</x:f>
      </x:c>
      <x:c r="N129" s="12"/>
      <x:c r="O129" s="12"/>
      <x:c r="P129" s="10"/>
      <x:c r="Q129" s="10"/>
    </x:row>
    <x:row r="130" ht="28" customHeight="1">
      <x:c r="A130" s="13"/>
      <x:c r="B130" s="12"/>
      <x:c r="C130" s="10"/>
      <x:c r="D130" s="13"/>
      <x:c r="E130" s="10"/>
      <x:c r="F130" s="10"/>
      <x:c r="G130" s="10"/>
      <x:c r="H130" s="10"/>
      <x:c r="I130" s="10"/>
      <x:c r="J130" s="12"/>
      <x:c r="K130" s="10"/>
      <x:c r="L130" s="12"/>
      <x:c r="M130" s="11" t="str">
        <x:f>IF(A130="",IF(C130="","","Falta ID"),IF(COUNTIFS($A$11:$A$210,A130)&gt;1,"ID duplicado",IF(AND(OR(H130="Contratado",H130="Implementación",H130="Entregado"),NOT(ISNUMBER(N130))),"Completar cierre",IF(H130="Entregado",IF(NOT(ISNUMBER(O130)),"Completar cierre","Cerrado"),IF(H130="Descartado",IF(P130="","Completar cierre","Cerrado"),IF(OR(C130="",D130="",E130="",F130="",G130="",H130="",I130="",K130="",L130="",B130=""),"Completar gestión",IF(NOT(ISNUMBER(L130)),"Revisar fecha",IF(L130&lt;TODAY(),"Vencido",IF(L130=TODAY(),"Hoy","Programado")))))))))</x:f>
      </x:c>
      <x:c r="N130" s="12"/>
      <x:c r="O130" s="12"/>
      <x:c r="P130" s="10"/>
      <x:c r="Q130" s="10"/>
    </x:row>
    <x:row r="131" ht="28" customHeight="1">
      <x:c r="A131" s="13"/>
      <x:c r="B131" s="12"/>
      <x:c r="C131" s="10"/>
      <x:c r="D131" s="13"/>
      <x:c r="E131" s="10"/>
      <x:c r="F131" s="10"/>
      <x:c r="G131" s="10"/>
      <x:c r="H131" s="10"/>
      <x:c r="I131" s="10"/>
      <x:c r="J131" s="12"/>
      <x:c r="K131" s="10"/>
      <x:c r="L131" s="12"/>
      <x:c r="M131" s="11" t="str">
        <x:f>IF(A131="",IF(C131="","","Falta ID"),IF(COUNTIFS($A$11:$A$210,A131)&gt;1,"ID duplicado",IF(AND(OR(H131="Contratado",H131="Implementación",H131="Entregado"),NOT(ISNUMBER(N131))),"Completar cierre",IF(H131="Entregado",IF(NOT(ISNUMBER(O131)),"Completar cierre","Cerrado"),IF(H131="Descartado",IF(P131="","Completar cierre","Cerrado"),IF(OR(C131="",D131="",E131="",F131="",G131="",H131="",I131="",K131="",L131="",B131=""),"Completar gestión",IF(NOT(ISNUMBER(L131)),"Revisar fecha",IF(L131&lt;TODAY(),"Vencido",IF(L131=TODAY(),"Hoy","Programado")))))))))</x:f>
      </x:c>
      <x:c r="N131" s="12"/>
      <x:c r="O131" s="12"/>
      <x:c r="P131" s="10"/>
      <x:c r="Q131" s="10"/>
    </x:row>
    <x:row r="132" ht="28" customHeight="1">
      <x:c r="A132" s="13"/>
      <x:c r="B132" s="12"/>
      <x:c r="C132" s="10"/>
      <x:c r="D132" s="13"/>
      <x:c r="E132" s="10"/>
      <x:c r="F132" s="10"/>
      <x:c r="G132" s="10"/>
      <x:c r="H132" s="10"/>
      <x:c r="I132" s="10"/>
      <x:c r="J132" s="12"/>
      <x:c r="K132" s="10"/>
      <x:c r="L132" s="12"/>
      <x:c r="M132" s="11" t="str">
        <x:f>IF(A132="",IF(C132="","","Falta ID"),IF(COUNTIFS($A$11:$A$210,A132)&gt;1,"ID duplicado",IF(AND(OR(H132="Contratado",H132="Implementación",H132="Entregado"),NOT(ISNUMBER(N132))),"Completar cierre",IF(H132="Entregado",IF(NOT(ISNUMBER(O132)),"Completar cierre","Cerrado"),IF(H132="Descartado",IF(P132="","Completar cierre","Cerrado"),IF(OR(C132="",D132="",E132="",F132="",G132="",H132="",I132="",K132="",L132="",B132=""),"Completar gestión",IF(NOT(ISNUMBER(L132)),"Revisar fecha",IF(L132&lt;TODAY(),"Vencido",IF(L132=TODAY(),"Hoy","Programado")))))))))</x:f>
      </x:c>
      <x:c r="N132" s="12"/>
      <x:c r="O132" s="12"/>
      <x:c r="P132" s="10"/>
      <x:c r="Q132" s="10"/>
    </x:row>
    <x:row r="133" ht="28" customHeight="1">
      <x:c r="A133" s="13"/>
      <x:c r="B133" s="12"/>
      <x:c r="C133" s="10"/>
      <x:c r="D133" s="13"/>
      <x:c r="E133" s="10"/>
      <x:c r="F133" s="10"/>
      <x:c r="G133" s="10"/>
      <x:c r="H133" s="10"/>
      <x:c r="I133" s="10"/>
      <x:c r="J133" s="12"/>
      <x:c r="K133" s="10"/>
      <x:c r="L133" s="12"/>
      <x:c r="M133" s="11" t="str">
        <x:f>IF(A133="",IF(C133="","","Falta ID"),IF(COUNTIFS($A$11:$A$210,A133)&gt;1,"ID duplicado",IF(AND(OR(H133="Contratado",H133="Implementación",H133="Entregado"),NOT(ISNUMBER(N133))),"Completar cierre",IF(H133="Entregado",IF(NOT(ISNUMBER(O133)),"Completar cierre","Cerrado"),IF(H133="Descartado",IF(P133="","Completar cierre","Cerrado"),IF(OR(C133="",D133="",E133="",F133="",G133="",H133="",I133="",K133="",L133="",B133=""),"Completar gestión",IF(NOT(ISNUMBER(L133)),"Revisar fecha",IF(L133&lt;TODAY(),"Vencido",IF(L133=TODAY(),"Hoy","Programado")))))))))</x:f>
      </x:c>
      <x:c r="N133" s="12"/>
      <x:c r="O133" s="12"/>
      <x:c r="P133" s="10"/>
      <x:c r="Q133" s="10"/>
    </x:row>
    <x:row r="134" ht="28" customHeight="1">
      <x:c r="A134" s="13"/>
      <x:c r="B134" s="12"/>
      <x:c r="C134" s="10"/>
      <x:c r="D134" s="13"/>
      <x:c r="E134" s="10"/>
      <x:c r="F134" s="10"/>
      <x:c r="G134" s="10"/>
      <x:c r="H134" s="10"/>
      <x:c r="I134" s="10"/>
      <x:c r="J134" s="12"/>
      <x:c r="K134" s="10"/>
      <x:c r="L134" s="12"/>
      <x:c r="M134" s="11" t="str">
        <x:f>IF(A134="",IF(C134="","","Falta ID"),IF(COUNTIFS($A$11:$A$210,A134)&gt;1,"ID duplicado",IF(AND(OR(H134="Contratado",H134="Implementación",H134="Entregado"),NOT(ISNUMBER(N134))),"Completar cierre",IF(H134="Entregado",IF(NOT(ISNUMBER(O134)),"Completar cierre","Cerrado"),IF(H134="Descartado",IF(P134="","Completar cierre","Cerrado"),IF(OR(C134="",D134="",E134="",F134="",G134="",H134="",I134="",K134="",L134="",B134=""),"Completar gestión",IF(NOT(ISNUMBER(L134)),"Revisar fecha",IF(L134&lt;TODAY(),"Vencido",IF(L134=TODAY(),"Hoy","Programado")))))))))</x:f>
      </x:c>
      <x:c r="N134" s="12"/>
      <x:c r="O134" s="12"/>
      <x:c r="P134" s="10"/>
      <x:c r="Q134" s="10"/>
    </x:row>
    <x:row r="135" ht="28" customHeight="1">
      <x:c r="A135" s="13"/>
      <x:c r="B135" s="12"/>
      <x:c r="C135" s="10"/>
      <x:c r="D135" s="13"/>
      <x:c r="E135" s="10"/>
      <x:c r="F135" s="10"/>
      <x:c r="G135" s="10"/>
      <x:c r="H135" s="10"/>
      <x:c r="I135" s="10"/>
      <x:c r="J135" s="12"/>
      <x:c r="K135" s="10"/>
      <x:c r="L135" s="12"/>
      <x:c r="M135" s="11" t="str">
        <x:f>IF(A135="",IF(C135="","","Falta ID"),IF(COUNTIFS($A$11:$A$210,A135)&gt;1,"ID duplicado",IF(AND(OR(H135="Contratado",H135="Implementación",H135="Entregado"),NOT(ISNUMBER(N135))),"Completar cierre",IF(H135="Entregado",IF(NOT(ISNUMBER(O135)),"Completar cierre","Cerrado"),IF(H135="Descartado",IF(P135="","Completar cierre","Cerrado"),IF(OR(C135="",D135="",E135="",F135="",G135="",H135="",I135="",K135="",L135="",B135=""),"Completar gestión",IF(NOT(ISNUMBER(L135)),"Revisar fecha",IF(L135&lt;TODAY(),"Vencido",IF(L135=TODAY(),"Hoy","Programado")))))))))</x:f>
      </x:c>
      <x:c r="N135" s="12"/>
      <x:c r="O135" s="12"/>
      <x:c r="P135" s="10"/>
      <x:c r="Q135" s="10"/>
    </x:row>
    <x:row r="136" ht="28" customHeight="1">
      <x:c r="A136" s="13"/>
      <x:c r="B136" s="12"/>
      <x:c r="C136" s="10"/>
      <x:c r="D136" s="13"/>
      <x:c r="E136" s="10"/>
      <x:c r="F136" s="10"/>
      <x:c r="G136" s="10"/>
      <x:c r="H136" s="10"/>
      <x:c r="I136" s="10"/>
      <x:c r="J136" s="12"/>
      <x:c r="K136" s="10"/>
      <x:c r="L136" s="12"/>
      <x:c r="M136" s="11" t="str">
        <x:f>IF(A136="",IF(C136="","","Falta ID"),IF(COUNTIFS($A$11:$A$210,A136)&gt;1,"ID duplicado",IF(AND(OR(H136="Contratado",H136="Implementación",H136="Entregado"),NOT(ISNUMBER(N136))),"Completar cierre",IF(H136="Entregado",IF(NOT(ISNUMBER(O136)),"Completar cierre","Cerrado"),IF(H136="Descartado",IF(P136="","Completar cierre","Cerrado"),IF(OR(C136="",D136="",E136="",F136="",G136="",H136="",I136="",K136="",L136="",B136=""),"Completar gestión",IF(NOT(ISNUMBER(L136)),"Revisar fecha",IF(L136&lt;TODAY(),"Vencido",IF(L136=TODAY(),"Hoy","Programado")))))))))</x:f>
      </x:c>
      <x:c r="N136" s="12"/>
      <x:c r="O136" s="12"/>
      <x:c r="P136" s="10"/>
      <x:c r="Q136" s="10"/>
    </x:row>
    <x:row r="137" ht="28" customHeight="1">
      <x:c r="A137" s="13"/>
      <x:c r="B137" s="12"/>
      <x:c r="C137" s="10"/>
      <x:c r="D137" s="13"/>
      <x:c r="E137" s="10"/>
      <x:c r="F137" s="10"/>
      <x:c r="G137" s="10"/>
      <x:c r="H137" s="10"/>
      <x:c r="I137" s="10"/>
      <x:c r="J137" s="12"/>
      <x:c r="K137" s="10"/>
      <x:c r="L137" s="12"/>
      <x:c r="M137" s="11" t="str">
        <x:f>IF(A137="",IF(C137="","","Falta ID"),IF(COUNTIFS($A$11:$A$210,A137)&gt;1,"ID duplicado",IF(AND(OR(H137="Contratado",H137="Implementación",H137="Entregado"),NOT(ISNUMBER(N137))),"Completar cierre",IF(H137="Entregado",IF(NOT(ISNUMBER(O137)),"Completar cierre","Cerrado"),IF(H137="Descartado",IF(P137="","Completar cierre","Cerrado"),IF(OR(C137="",D137="",E137="",F137="",G137="",H137="",I137="",K137="",L137="",B137=""),"Completar gestión",IF(NOT(ISNUMBER(L137)),"Revisar fecha",IF(L137&lt;TODAY(),"Vencido",IF(L137=TODAY(),"Hoy","Programado")))))))))</x:f>
      </x:c>
      <x:c r="N137" s="12"/>
      <x:c r="O137" s="12"/>
      <x:c r="P137" s="10"/>
      <x:c r="Q137" s="10"/>
    </x:row>
    <x:row r="138" ht="28" customHeight="1">
      <x:c r="A138" s="13"/>
      <x:c r="B138" s="12"/>
      <x:c r="C138" s="10"/>
      <x:c r="D138" s="13"/>
      <x:c r="E138" s="10"/>
      <x:c r="F138" s="10"/>
      <x:c r="G138" s="10"/>
      <x:c r="H138" s="10"/>
      <x:c r="I138" s="10"/>
      <x:c r="J138" s="12"/>
      <x:c r="K138" s="10"/>
      <x:c r="L138" s="12"/>
      <x:c r="M138" s="11" t="str">
        <x:f>IF(A138="",IF(C138="","","Falta ID"),IF(COUNTIFS($A$11:$A$210,A138)&gt;1,"ID duplicado",IF(AND(OR(H138="Contratado",H138="Implementación",H138="Entregado"),NOT(ISNUMBER(N138))),"Completar cierre",IF(H138="Entregado",IF(NOT(ISNUMBER(O138)),"Completar cierre","Cerrado"),IF(H138="Descartado",IF(P138="","Completar cierre","Cerrado"),IF(OR(C138="",D138="",E138="",F138="",G138="",H138="",I138="",K138="",L138="",B138=""),"Completar gestión",IF(NOT(ISNUMBER(L138)),"Revisar fecha",IF(L138&lt;TODAY(),"Vencido",IF(L138=TODAY(),"Hoy","Programado")))))))))</x:f>
      </x:c>
      <x:c r="N138" s="12"/>
      <x:c r="O138" s="12"/>
      <x:c r="P138" s="10"/>
      <x:c r="Q138" s="10"/>
    </x:row>
    <x:row r="139" ht="28" customHeight="1">
      <x:c r="A139" s="13"/>
      <x:c r="B139" s="12"/>
      <x:c r="C139" s="10"/>
      <x:c r="D139" s="13"/>
      <x:c r="E139" s="10"/>
      <x:c r="F139" s="10"/>
      <x:c r="G139" s="10"/>
      <x:c r="H139" s="10"/>
      <x:c r="I139" s="10"/>
      <x:c r="J139" s="12"/>
      <x:c r="K139" s="10"/>
      <x:c r="L139" s="12"/>
      <x:c r="M139" s="11" t="str">
        <x:f>IF(A139="",IF(C139="","","Falta ID"),IF(COUNTIFS($A$11:$A$210,A139)&gt;1,"ID duplicado",IF(AND(OR(H139="Contratado",H139="Implementación",H139="Entregado"),NOT(ISNUMBER(N139))),"Completar cierre",IF(H139="Entregado",IF(NOT(ISNUMBER(O139)),"Completar cierre","Cerrado"),IF(H139="Descartado",IF(P139="","Completar cierre","Cerrado"),IF(OR(C139="",D139="",E139="",F139="",G139="",H139="",I139="",K139="",L139="",B139=""),"Completar gestión",IF(NOT(ISNUMBER(L139)),"Revisar fecha",IF(L139&lt;TODAY(),"Vencido",IF(L139=TODAY(),"Hoy","Programado")))))))))</x:f>
      </x:c>
      <x:c r="N139" s="12"/>
      <x:c r="O139" s="12"/>
      <x:c r="P139" s="10"/>
      <x:c r="Q139" s="10"/>
    </x:row>
    <x:row r="140" ht="28" customHeight="1">
      <x:c r="A140" s="13"/>
      <x:c r="B140" s="12"/>
      <x:c r="C140" s="10"/>
      <x:c r="D140" s="13"/>
      <x:c r="E140" s="10"/>
      <x:c r="F140" s="10"/>
      <x:c r="G140" s="10"/>
      <x:c r="H140" s="10"/>
      <x:c r="I140" s="10"/>
      <x:c r="J140" s="12"/>
      <x:c r="K140" s="10"/>
      <x:c r="L140" s="12"/>
      <x:c r="M140" s="11" t="str">
        <x:f>IF(A140="",IF(C140="","","Falta ID"),IF(COUNTIFS($A$11:$A$210,A140)&gt;1,"ID duplicado",IF(AND(OR(H140="Contratado",H140="Implementación",H140="Entregado"),NOT(ISNUMBER(N140))),"Completar cierre",IF(H140="Entregado",IF(NOT(ISNUMBER(O140)),"Completar cierre","Cerrado"),IF(H140="Descartado",IF(P140="","Completar cierre","Cerrado"),IF(OR(C140="",D140="",E140="",F140="",G140="",H140="",I140="",K140="",L140="",B140=""),"Completar gestión",IF(NOT(ISNUMBER(L140)),"Revisar fecha",IF(L140&lt;TODAY(),"Vencido",IF(L140=TODAY(),"Hoy","Programado")))))))))</x:f>
      </x:c>
      <x:c r="N140" s="12"/>
      <x:c r="O140" s="12"/>
      <x:c r="P140" s="10"/>
      <x:c r="Q140" s="10"/>
    </x:row>
    <x:row r="141" ht="28" customHeight="1">
      <x:c r="A141" s="13"/>
      <x:c r="B141" s="12"/>
      <x:c r="C141" s="10"/>
      <x:c r="D141" s="13"/>
      <x:c r="E141" s="10"/>
      <x:c r="F141" s="10"/>
      <x:c r="G141" s="10"/>
      <x:c r="H141" s="10"/>
      <x:c r="I141" s="10"/>
      <x:c r="J141" s="12"/>
      <x:c r="K141" s="10"/>
      <x:c r="L141" s="12"/>
      <x:c r="M141" s="11" t="str">
        <x:f>IF(A141="",IF(C141="","","Falta ID"),IF(COUNTIFS($A$11:$A$210,A141)&gt;1,"ID duplicado",IF(AND(OR(H141="Contratado",H141="Implementación",H141="Entregado"),NOT(ISNUMBER(N141))),"Completar cierre",IF(H141="Entregado",IF(NOT(ISNUMBER(O141)),"Completar cierre","Cerrado"),IF(H141="Descartado",IF(P141="","Completar cierre","Cerrado"),IF(OR(C141="",D141="",E141="",F141="",G141="",H141="",I141="",K141="",L141="",B141=""),"Completar gestión",IF(NOT(ISNUMBER(L141)),"Revisar fecha",IF(L141&lt;TODAY(),"Vencido",IF(L141=TODAY(),"Hoy","Programado")))))))))</x:f>
      </x:c>
      <x:c r="N141" s="12"/>
      <x:c r="O141" s="12"/>
      <x:c r="P141" s="10"/>
      <x:c r="Q141" s="10"/>
    </x:row>
    <x:row r="142" ht="28" customHeight="1">
      <x:c r="A142" s="13"/>
      <x:c r="B142" s="12"/>
      <x:c r="C142" s="10"/>
      <x:c r="D142" s="13"/>
      <x:c r="E142" s="10"/>
      <x:c r="F142" s="10"/>
      <x:c r="G142" s="10"/>
      <x:c r="H142" s="10"/>
      <x:c r="I142" s="10"/>
      <x:c r="J142" s="12"/>
      <x:c r="K142" s="10"/>
      <x:c r="L142" s="12"/>
      <x:c r="M142" s="11" t="str">
        <x:f>IF(A142="",IF(C142="","","Falta ID"),IF(COUNTIFS($A$11:$A$210,A142)&gt;1,"ID duplicado",IF(AND(OR(H142="Contratado",H142="Implementación",H142="Entregado"),NOT(ISNUMBER(N142))),"Completar cierre",IF(H142="Entregado",IF(NOT(ISNUMBER(O142)),"Completar cierre","Cerrado"),IF(H142="Descartado",IF(P142="","Completar cierre","Cerrado"),IF(OR(C142="",D142="",E142="",F142="",G142="",H142="",I142="",K142="",L142="",B142=""),"Completar gestión",IF(NOT(ISNUMBER(L142)),"Revisar fecha",IF(L142&lt;TODAY(),"Vencido",IF(L142=TODAY(),"Hoy","Programado")))))))))</x:f>
      </x:c>
      <x:c r="N142" s="12"/>
      <x:c r="O142" s="12"/>
      <x:c r="P142" s="10"/>
      <x:c r="Q142" s="10"/>
    </x:row>
    <x:row r="143" ht="28" customHeight="1">
      <x:c r="A143" s="13"/>
      <x:c r="B143" s="12"/>
      <x:c r="C143" s="10"/>
      <x:c r="D143" s="13"/>
      <x:c r="E143" s="10"/>
      <x:c r="F143" s="10"/>
      <x:c r="G143" s="10"/>
      <x:c r="H143" s="10"/>
      <x:c r="I143" s="10"/>
      <x:c r="J143" s="12"/>
      <x:c r="K143" s="10"/>
      <x:c r="L143" s="12"/>
      <x:c r="M143" s="11" t="str">
        <x:f>IF(A143="",IF(C143="","","Falta ID"),IF(COUNTIFS($A$11:$A$210,A143)&gt;1,"ID duplicado",IF(AND(OR(H143="Contratado",H143="Implementación",H143="Entregado"),NOT(ISNUMBER(N143))),"Completar cierre",IF(H143="Entregado",IF(NOT(ISNUMBER(O143)),"Completar cierre","Cerrado"),IF(H143="Descartado",IF(P143="","Completar cierre","Cerrado"),IF(OR(C143="",D143="",E143="",F143="",G143="",H143="",I143="",K143="",L143="",B143=""),"Completar gestión",IF(NOT(ISNUMBER(L143)),"Revisar fecha",IF(L143&lt;TODAY(),"Vencido",IF(L143=TODAY(),"Hoy","Programado")))))))))</x:f>
      </x:c>
      <x:c r="N143" s="12"/>
      <x:c r="O143" s="12"/>
      <x:c r="P143" s="10"/>
      <x:c r="Q143" s="10"/>
    </x:row>
    <x:row r="144" ht="28" customHeight="1">
      <x:c r="A144" s="13"/>
      <x:c r="B144" s="12"/>
      <x:c r="C144" s="10"/>
      <x:c r="D144" s="13"/>
      <x:c r="E144" s="10"/>
      <x:c r="F144" s="10"/>
      <x:c r="G144" s="10"/>
      <x:c r="H144" s="10"/>
      <x:c r="I144" s="10"/>
      <x:c r="J144" s="12"/>
      <x:c r="K144" s="10"/>
      <x:c r="L144" s="12"/>
      <x:c r="M144" s="11" t="str">
        <x:f>IF(A144="",IF(C144="","","Falta ID"),IF(COUNTIFS($A$11:$A$210,A144)&gt;1,"ID duplicado",IF(AND(OR(H144="Contratado",H144="Implementación",H144="Entregado"),NOT(ISNUMBER(N144))),"Completar cierre",IF(H144="Entregado",IF(NOT(ISNUMBER(O144)),"Completar cierre","Cerrado"),IF(H144="Descartado",IF(P144="","Completar cierre","Cerrado"),IF(OR(C144="",D144="",E144="",F144="",G144="",H144="",I144="",K144="",L144="",B144=""),"Completar gestión",IF(NOT(ISNUMBER(L144)),"Revisar fecha",IF(L144&lt;TODAY(),"Vencido",IF(L144=TODAY(),"Hoy","Programado")))))))))</x:f>
      </x:c>
      <x:c r="N144" s="12"/>
      <x:c r="O144" s="12"/>
      <x:c r="P144" s="10"/>
      <x:c r="Q144" s="10"/>
    </x:row>
    <x:row r="145" ht="28" customHeight="1">
      <x:c r="A145" s="13"/>
      <x:c r="B145" s="12"/>
      <x:c r="C145" s="10"/>
      <x:c r="D145" s="13"/>
      <x:c r="E145" s="10"/>
      <x:c r="F145" s="10"/>
      <x:c r="G145" s="10"/>
      <x:c r="H145" s="10"/>
      <x:c r="I145" s="10"/>
      <x:c r="J145" s="12"/>
      <x:c r="K145" s="10"/>
      <x:c r="L145" s="12"/>
      <x:c r="M145" s="11" t="str">
        <x:f>IF(A145="",IF(C145="","","Falta ID"),IF(COUNTIFS($A$11:$A$210,A145)&gt;1,"ID duplicado",IF(AND(OR(H145="Contratado",H145="Implementación",H145="Entregado"),NOT(ISNUMBER(N145))),"Completar cierre",IF(H145="Entregado",IF(NOT(ISNUMBER(O145)),"Completar cierre","Cerrado"),IF(H145="Descartado",IF(P145="","Completar cierre","Cerrado"),IF(OR(C145="",D145="",E145="",F145="",G145="",H145="",I145="",K145="",L145="",B145=""),"Completar gestión",IF(NOT(ISNUMBER(L145)),"Revisar fecha",IF(L145&lt;TODAY(),"Vencido",IF(L145=TODAY(),"Hoy","Programado")))))))))</x:f>
      </x:c>
      <x:c r="N145" s="12"/>
      <x:c r="O145" s="12"/>
      <x:c r="P145" s="10"/>
      <x:c r="Q145" s="10"/>
    </x:row>
    <x:row r="146" ht="28" customHeight="1">
      <x:c r="A146" s="13"/>
      <x:c r="B146" s="12"/>
      <x:c r="C146" s="10"/>
      <x:c r="D146" s="13"/>
      <x:c r="E146" s="10"/>
      <x:c r="F146" s="10"/>
      <x:c r="G146" s="10"/>
      <x:c r="H146" s="10"/>
      <x:c r="I146" s="10"/>
      <x:c r="J146" s="12"/>
      <x:c r="K146" s="10"/>
      <x:c r="L146" s="12"/>
      <x:c r="M146" s="11" t="str">
        <x:f>IF(A146="",IF(C146="","","Falta ID"),IF(COUNTIFS($A$11:$A$210,A146)&gt;1,"ID duplicado",IF(AND(OR(H146="Contratado",H146="Implementación",H146="Entregado"),NOT(ISNUMBER(N146))),"Completar cierre",IF(H146="Entregado",IF(NOT(ISNUMBER(O146)),"Completar cierre","Cerrado"),IF(H146="Descartado",IF(P146="","Completar cierre","Cerrado"),IF(OR(C146="",D146="",E146="",F146="",G146="",H146="",I146="",K146="",L146="",B146=""),"Completar gestión",IF(NOT(ISNUMBER(L146)),"Revisar fecha",IF(L146&lt;TODAY(),"Vencido",IF(L146=TODAY(),"Hoy","Programado")))))))))</x:f>
      </x:c>
      <x:c r="N146" s="12"/>
      <x:c r="O146" s="12"/>
      <x:c r="P146" s="10"/>
      <x:c r="Q146" s="10"/>
    </x:row>
    <x:row r="147" ht="28" customHeight="1">
      <x:c r="A147" s="13"/>
      <x:c r="B147" s="12"/>
      <x:c r="C147" s="10"/>
      <x:c r="D147" s="13"/>
      <x:c r="E147" s="10"/>
      <x:c r="F147" s="10"/>
      <x:c r="G147" s="10"/>
      <x:c r="H147" s="10"/>
      <x:c r="I147" s="10"/>
      <x:c r="J147" s="12"/>
      <x:c r="K147" s="10"/>
      <x:c r="L147" s="12"/>
      <x:c r="M147" s="11" t="str">
        <x:f>IF(A147="",IF(C147="","","Falta ID"),IF(COUNTIFS($A$11:$A$210,A147)&gt;1,"ID duplicado",IF(AND(OR(H147="Contratado",H147="Implementación",H147="Entregado"),NOT(ISNUMBER(N147))),"Completar cierre",IF(H147="Entregado",IF(NOT(ISNUMBER(O147)),"Completar cierre","Cerrado"),IF(H147="Descartado",IF(P147="","Completar cierre","Cerrado"),IF(OR(C147="",D147="",E147="",F147="",G147="",H147="",I147="",K147="",L147="",B147=""),"Completar gestión",IF(NOT(ISNUMBER(L147)),"Revisar fecha",IF(L147&lt;TODAY(),"Vencido",IF(L147=TODAY(),"Hoy","Programado")))))))))</x:f>
      </x:c>
      <x:c r="N147" s="12"/>
      <x:c r="O147" s="12"/>
      <x:c r="P147" s="10"/>
      <x:c r="Q147" s="10"/>
    </x:row>
    <x:row r="148" ht="28" customHeight="1">
      <x:c r="A148" s="13"/>
      <x:c r="B148" s="12"/>
      <x:c r="C148" s="10"/>
      <x:c r="D148" s="13"/>
      <x:c r="E148" s="10"/>
      <x:c r="F148" s="10"/>
      <x:c r="G148" s="10"/>
      <x:c r="H148" s="10"/>
      <x:c r="I148" s="10"/>
      <x:c r="J148" s="12"/>
      <x:c r="K148" s="10"/>
      <x:c r="L148" s="12"/>
      <x:c r="M148" s="11" t="str">
        <x:f>IF(A148="",IF(C148="","","Falta ID"),IF(COUNTIFS($A$11:$A$210,A148)&gt;1,"ID duplicado",IF(AND(OR(H148="Contratado",H148="Implementación",H148="Entregado"),NOT(ISNUMBER(N148))),"Completar cierre",IF(H148="Entregado",IF(NOT(ISNUMBER(O148)),"Completar cierre","Cerrado"),IF(H148="Descartado",IF(P148="","Completar cierre","Cerrado"),IF(OR(C148="",D148="",E148="",F148="",G148="",H148="",I148="",K148="",L148="",B148=""),"Completar gestión",IF(NOT(ISNUMBER(L148)),"Revisar fecha",IF(L148&lt;TODAY(),"Vencido",IF(L148=TODAY(),"Hoy","Programado")))))))))</x:f>
      </x:c>
      <x:c r="N148" s="12"/>
      <x:c r="O148" s="12"/>
      <x:c r="P148" s="10"/>
      <x:c r="Q148" s="10"/>
    </x:row>
    <x:row r="149" ht="28" customHeight="1">
      <x:c r="A149" s="13"/>
      <x:c r="B149" s="12"/>
      <x:c r="C149" s="10"/>
      <x:c r="D149" s="13"/>
      <x:c r="E149" s="10"/>
      <x:c r="F149" s="10"/>
      <x:c r="G149" s="10"/>
      <x:c r="H149" s="10"/>
      <x:c r="I149" s="10"/>
      <x:c r="J149" s="12"/>
      <x:c r="K149" s="10"/>
      <x:c r="L149" s="12"/>
      <x:c r="M149" s="11" t="str">
        <x:f>IF(A149="",IF(C149="","","Falta ID"),IF(COUNTIFS($A$11:$A$210,A149)&gt;1,"ID duplicado",IF(AND(OR(H149="Contratado",H149="Implementación",H149="Entregado"),NOT(ISNUMBER(N149))),"Completar cierre",IF(H149="Entregado",IF(NOT(ISNUMBER(O149)),"Completar cierre","Cerrado"),IF(H149="Descartado",IF(P149="","Completar cierre","Cerrado"),IF(OR(C149="",D149="",E149="",F149="",G149="",H149="",I149="",K149="",L149="",B149=""),"Completar gestión",IF(NOT(ISNUMBER(L149)),"Revisar fecha",IF(L149&lt;TODAY(),"Vencido",IF(L149=TODAY(),"Hoy","Programado")))))))))</x:f>
      </x:c>
      <x:c r="N149" s="12"/>
      <x:c r="O149" s="12"/>
      <x:c r="P149" s="10"/>
      <x:c r="Q149" s="10"/>
    </x:row>
    <x:row r="150" ht="28" customHeight="1">
      <x:c r="A150" s="13"/>
      <x:c r="B150" s="12"/>
      <x:c r="C150" s="10"/>
      <x:c r="D150" s="13"/>
      <x:c r="E150" s="10"/>
      <x:c r="F150" s="10"/>
      <x:c r="G150" s="10"/>
      <x:c r="H150" s="10"/>
      <x:c r="I150" s="10"/>
      <x:c r="J150" s="12"/>
      <x:c r="K150" s="10"/>
      <x:c r="L150" s="12"/>
      <x:c r="M150" s="11" t="str">
        <x:f>IF(A150="",IF(C150="","","Falta ID"),IF(COUNTIFS($A$11:$A$210,A150)&gt;1,"ID duplicado",IF(AND(OR(H150="Contratado",H150="Implementación",H150="Entregado"),NOT(ISNUMBER(N150))),"Completar cierre",IF(H150="Entregado",IF(NOT(ISNUMBER(O150)),"Completar cierre","Cerrado"),IF(H150="Descartado",IF(P150="","Completar cierre","Cerrado"),IF(OR(C150="",D150="",E150="",F150="",G150="",H150="",I150="",K150="",L150="",B150=""),"Completar gestión",IF(NOT(ISNUMBER(L150)),"Revisar fecha",IF(L150&lt;TODAY(),"Vencido",IF(L150=TODAY(),"Hoy","Programado")))))))))</x:f>
      </x:c>
      <x:c r="N150" s="12"/>
      <x:c r="O150" s="12"/>
      <x:c r="P150" s="10"/>
      <x:c r="Q150" s="10"/>
    </x:row>
    <x:row r="151" ht="28" customHeight="1">
      <x:c r="A151" s="13"/>
      <x:c r="B151" s="12"/>
      <x:c r="C151" s="10"/>
      <x:c r="D151" s="13"/>
      <x:c r="E151" s="10"/>
      <x:c r="F151" s="10"/>
      <x:c r="G151" s="10"/>
      <x:c r="H151" s="10"/>
      <x:c r="I151" s="10"/>
      <x:c r="J151" s="12"/>
      <x:c r="K151" s="10"/>
      <x:c r="L151" s="12"/>
      <x:c r="M151" s="11" t="str">
        <x:f>IF(A151="",IF(C151="","","Falta ID"),IF(COUNTIFS($A$11:$A$210,A151)&gt;1,"ID duplicado",IF(AND(OR(H151="Contratado",H151="Implementación",H151="Entregado"),NOT(ISNUMBER(N151))),"Completar cierre",IF(H151="Entregado",IF(NOT(ISNUMBER(O151)),"Completar cierre","Cerrado"),IF(H151="Descartado",IF(P151="","Completar cierre","Cerrado"),IF(OR(C151="",D151="",E151="",F151="",G151="",H151="",I151="",K151="",L151="",B151=""),"Completar gestión",IF(NOT(ISNUMBER(L151)),"Revisar fecha",IF(L151&lt;TODAY(),"Vencido",IF(L151=TODAY(),"Hoy","Programado")))))))))</x:f>
      </x:c>
      <x:c r="N151" s="12"/>
      <x:c r="O151" s="12"/>
      <x:c r="P151" s="10"/>
      <x:c r="Q151" s="10"/>
    </x:row>
    <x:row r="152" ht="28" customHeight="1">
      <x:c r="A152" s="13"/>
      <x:c r="B152" s="12"/>
      <x:c r="C152" s="10"/>
      <x:c r="D152" s="13"/>
      <x:c r="E152" s="10"/>
      <x:c r="F152" s="10"/>
      <x:c r="G152" s="10"/>
      <x:c r="H152" s="10"/>
      <x:c r="I152" s="10"/>
      <x:c r="J152" s="12"/>
      <x:c r="K152" s="10"/>
      <x:c r="L152" s="12"/>
      <x:c r="M152" s="11" t="str">
        <x:f>IF(A152="",IF(C152="","","Falta ID"),IF(COUNTIFS($A$11:$A$210,A152)&gt;1,"ID duplicado",IF(AND(OR(H152="Contratado",H152="Implementación",H152="Entregado"),NOT(ISNUMBER(N152))),"Completar cierre",IF(H152="Entregado",IF(NOT(ISNUMBER(O152)),"Completar cierre","Cerrado"),IF(H152="Descartado",IF(P152="","Completar cierre","Cerrado"),IF(OR(C152="",D152="",E152="",F152="",G152="",H152="",I152="",K152="",L152="",B152=""),"Completar gestión",IF(NOT(ISNUMBER(L152)),"Revisar fecha",IF(L152&lt;TODAY(),"Vencido",IF(L152=TODAY(),"Hoy","Programado")))))))))</x:f>
      </x:c>
      <x:c r="N152" s="12"/>
      <x:c r="O152" s="12"/>
      <x:c r="P152" s="10"/>
      <x:c r="Q152" s="10"/>
    </x:row>
    <x:row r="153" ht="28" customHeight="1">
      <x:c r="A153" s="13"/>
      <x:c r="B153" s="12"/>
      <x:c r="C153" s="10"/>
      <x:c r="D153" s="13"/>
      <x:c r="E153" s="10"/>
      <x:c r="F153" s="10"/>
      <x:c r="G153" s="10"/>
      <x:c r="H153" s="10"/>
      <x:c r="I153" s="10"/>
      <x:c r="J153" s="12"/>
      <x:c r="K153" s="10"/>
      <x:c r="L153" s="12"/>
      <x:c r="M153" s="11" t="str">
        <x:f>IF(A153="",IF(C153="","","Falta ID"),IF(COUNTIFS($A$11:$A$210,A153)&gt;1,"ID duplicado",IF(AND(OR(H153="Contratado",H153="Implementación",H153="Entregado"),NOT(ISNUMBER(N153))),"Completar cierre",IF(H153="Entregado",IF(NOT(ISNUMBER(O153)),"Completar cierre","Cerrado"),IF(H153="Descartado",IF(P153="","Completar cierre","Cerrado"),IF(OR(C153="",D153="",E153="",F153="",G153="",H153="",I153="",K153="",L153="",B153=""),"Completar gestión",IF(NOT(ISNUMBER(L153)),"Revisar fecha",IF(L153&lt;TODAY(),"Vencido",IF(L153=TODAY(),"Hoy","Programado")))))))))</x:f>
      </x:c>
      <x:c r="N153" s="12"/>
      <x:c r="O153" s="12"/>
      <x:c r="P153" s="10"/>
      <x:c r="Q153" s="10"/>
    </x:row>
    <x:row r="154" ht="28" customHeight="1">
      <x:c r="A154" s="13"/>
      <x:c r="B154" s="12"/>
      <x:c r="C154" s="10"/>
      <x:c r="D154" s="13"/>
      <x:c r="E154" s="10"/>
      <x:c r="F154" s="10"/>
      <x:c r="G154" s="10"/>
      <x:c r="H154" s="10"/>
      <x:c r="I154" s="10"/>
      <x:c r="J154" s="12"/>
      <x:c r="K154" s="10"/>
      <x:c r="L154" s="12"/>
      <x:c r="M154" s="11" t="str">
        <x:f>IF(A154="",IF(C154="","","Falta ID"),IF(COUNTIFS($A$11:$A$210,A154)&gt;1,"ID duplicado",IF(AND(OR(H154="Contratado",H154="Implementación",H154="Entregado"),NOT(ISNUMBER(N154))),"Completar cierre",IF(H154="Entregado",IF(NOT(ISNUMBER(O154)),"Completar cierre","Cerrado"),IF(H154="Descartado",IF(P154="","Completar cierre","Cerrado"),IF(OR(C154="",D154="",E154="",F154="",G154="",H154="",I154="",K154="",L154="",B154=""),"Completar gestión",IF(NOT(ISNUMBER(L154)),"Revisar fecha",IF(L154&lt;TODAY(),"Vencido",IF(L154=TODAY(),"Hoy","Programado")))))))))</x:f>
      </x:c>
      <x:c r="N154" s="12"/>
      <x:c r="O154" s="12"/>
      <x:c r="P154" s="10"/>
      <x:c r="Q154" s="10"/>
    </x:row>
    <x:row r="155" ht="28" customHeight="1">
      <x:c r="A155" s="13"/>
      <x:c r="B155" s="12"/>
      <x:c r="C155" s="10"/>
      <x:c r="D155" s="13"/>
      <x:c r="E155" s="10"/>
      <x:c r="F155" s="10"/>
      <x:c r="G155" s="10"/>
      <x:c r="H155" s="10"/>
      <x:c r="I155" s="10"/>
      <x:c r="J155" s="12"/>
      <x:c r="K155" s="10"/>
      <x:c r="L155" s="12"/>
      <x:c r="M155" s="11" t="str">
        <x:f>IF(A155="",IF(C155="","","Falta ID"),IF(COUNTIFS($A$11:$A$210,A155)&gt;1,"ID duplicado",IF(AND(OR(H155="Contratado",H155="Implementación",H155="Entregado"),NOT(ISNUMBER(N155))),"Completar cierre",IF(H155="Entregado",IF(NOT(ISNUMBER(O155)),"Completar cierre","Cerrado"),IF(H155="Descartado",IF(P155="","Completar cierre","Cerrado"),IF(OR(C155="",D155="",E155="",F155="",G155="",H155="",I155="",K155="",L155="",B155=""),"Completar gestión",IF(NOT(ISNUMBER(L155)),"Revisar fecha",IF(L155&lt;TODAY(),"Vencido",IF(L155=TODAY(),"Hoy","Programado")))))))))</x:f>
      </x:c>
      <x:c r="N155" s="12"/>
      <x:c r="O155" s="12"/>
      <x:c r="P155" s="10"/>
      <x:c r="Q155" s="10"/>
    </x:row>
    <x:row r="156" ht="28" customHeight="1">
      <x:c r="A156" s="13"/>
      <x:c r="B156" s="12"/>
      <x:c r="C156" s="10"/>
      <x:c r="D156" s="13"/>
      <x:c r="E156" s="10"/>
      <x:c r="F156" s="10"/>
      <x:c r="G156" s="10"/>
      <x:c r="H156" s="10"/>
      <x:c r="I156" s="10"/>
      <x:c r="J156" s="12"/>
      <x:c r="K156" s="10"/>
      <x:c r="L156" s="12"/>
      <x:c r="M156" s="11" t="str">
        <x:f>IF(A156="",IF(C156="","","Falta ID"),IF(COUNTIFS($A$11:$A$210,A156)&gt;1,"ID duplicado",IF(AND(OR(H156="Contratado",H156="Implementación",H156="Entregado"),NOT(ISNUMBER(N156))),"Completar cierre",IF(H156="Entregado",IF(NOT(ISNUMBER(O156)),"Completar cierre","Cerrado"),IF(H156="Descartado",IF(P156="","Completar cierre","Cerrado"),IF(OR(C156="",D156="",E156="",F156="",G156="",H156="",I156="",K156="",L156="",B156=""),"Completar gestión",IF(NOT(ISNUMBER(L156)),"Revisar fecha",IF(L156&lt;TODAY(),"Vencido",IF(L156=TODAY(),"Hoy","Programado")))))))))</x:f>
      </x:c>
      <x:c r="N156" s="12"/>
      <x:c r="O156" s="12"/>
      <x:c r="P156" s="10"/>
      <x:c r="Q156" s="10"/>
    </x:row>
    <x:row r="157" ht="28" customHeight="1">
      <x:c r="A157" s="13"/>
      <x:c r="B157" s="12"/>
      <x:c r="C157" s="10"/>
      <x:c r="D157" s="13"/>
      <x:c r="E157" s="10"/>
      <x:c r="F157" s="10"/>
      <x:c r="G157" s="10"/>
      <x:c r="H157" s="10"/>
      <x:c r="I157" s="10"/>
      <x:c r="J157" s="12"/>
      <x:c r="K157" s="10"/>
      <x:c r="L157" s="12"/>
      <x:c r="M157" s="11" t="str">
        <x:f>IF(A157="",IF(C157="","","Falta ID"),IF(COUNTIFS($A$11:$A$210,A157)&gt;1,"ID duplicado",IF(AND(OR(H157="Contratado",H157="Implementación",H157="Entregado"),NOT(ISNUMBER(N157))),"Completar cierre",IF(H157="Entregado",IF(NOT(ISNUMBER(O157)),"Completar cierre","Cerrado"),IF(H157="Descartado",IF(P157="","Completar cierre","Cerrado"),IF(OR(C157="",D157="",E157="",F157="",G157="",H157="",I157="",K157="",L157="",B157=""),"Completar gestión",IF(NOT(ISNUMBER(L157)),"Revisar fecha",IF(L157&lt;TODAY(),"Vencido",IF(L157=TODAY(),"Hoy","Programado")))))))))</x:f>
      </x:c>
      <x:c r="N157" s="12"/>
      <x:c r="O157" s="12"/>
      <x:c r="P157" s="10"/>
      <x:c r="Q157" s="10"/>
    </x:row>
    <x:row r="158" ht="28" customHeight="1">
      <x:c r="A158" s="13"/>
      <x:c r="B158" s="12"/>
      <x:c r="C158" s="10"/>
      <x:c r="D158" s="13"/>
      <x:c r="E158" s="10"/>
      <x:c r="F158" s="10"/>
      <x:c r="G158" s="10"/>
      <x:c r="H158" s="10"/>
      <x:c r="I158" s="10"/>
      <x:c r="J158" s="12"/>
      <x:c r="K158" s="10"/>
      <x:c r="L158" s="12"/>
      <x:c r="M158" s="11" t="str">
        <x:f>IF(A158="",IF(C158="","","Falta ID"),IF(COUNTIFS($A$11:$A$210,A158)&gt;1,"ID duplicado",IF(AND(OR(H158="Contratado",H158="Implementación",H158="Entregado"),NOT(ISNUMBER(N158))),"Completar cierre",IF(H158="Entregado",IF(NOT(ISNUMBER(O158)),"Completar cierre","Cerrado"),IF(H158="Descartado",IF(P158="","Completar cierre","Cerrado"),IF(OR(C158="",D158="",E158="",F158="",G158="",H158="",I158="",K158="",L158="",B158=""),"Completar gestión",IF(NOT(ISNUMBER(L158)),"Revisar fecha",IF(L158&lt;TODAY(),"Vencido",IF(L158=TODAY(),"Hoy","Programado")))))))))</x:f>
      </x:c>
      <x:c r="N158" s="12"/>
      <x:c r="O158" s="12"/>
      <x:c r="P158" s="10"/>
      <x:c r="Q158" s="10"/>
    </x:row>
    <x:row r="159" ht="28" customHeight="1">
      <x:c r="A159" s="13"/>
      <x:c r="B159" s="12"/>
      <x:c r="C159" s="10"/>
      <x:c r="D159" s="13"/>
      <x:c r="E159" s="10"/>
      <x:c r="F159" s="10"/>
      <x:c r="G159" s="10"/>
      <x:c r="H159" s="10"/>
      <x:c r="I159" s="10"/>
      <x:c r="J159" s="12"/>
      <x:c r="K159" s="10"/>
      <x:c r="L159" s="12"/>
      <x:c r="M159" s="11" t="str">
        <x:f>IF(A159="",IF(C159="","","Falta ID"),IF(COUNTIFS($A$11:$A$210,A159)&gt;1,"ID duplicado",IF(AND(OR(H159="Contratado",H159="Implementación",H159="Entregado"),NOT(ISNUMBER(N159))),"Completar cierre",IF(H159="Entregado",IF(NOT(ISNUMBER(O159)),"Completar cierre","Cerrado"),IF(H159="Descartado",IF(P159="","Completar cierre","Cerrado"),IF(OR(C159="",D159="",E159="",F159="",G159="",H159="",I159="",K159="",L159="",B159=""),"Completar gestión",IF(NOT(ISNUMBER(L159)),"Revisar fecha",IF(L159&lt;TODAY(),"Vencido",IF(L159=TODAY(),"Hoy","Programado")))))))))</x:f>
      </x:c>
      <x:c r="N159" s="12"/>
      <x:c r="O159" s="12"/>
      <x:c r="P159" s="10"/>
      <x:c r="Q159" s="10"/>
    </x:row>
    <x:row r="160" ht="28" customHeight="1">
      <x:c r="A160" s="13"/>
      <x:c r="B160" s="12"/>
      <x:c r="C160" s="10"/>
      <x:c r="D160" s="13"/>
      <x:c r="E160" s="10"/>
      <x:c r="F160" s="10"/>
      <x:c r="G160" s="10"/>
      <x:c r="H160" s="10"/>
      <x:c r="I160" s="10"/>
      <x:c r="J160" s="12"/>
      <x:c r="K160" s="10"/>
      <x:c r="L160" s="12"/>
      <x:c r="M160" s="11" t="str">
        <x:f>IF(A160="",IF(C160="","","Falta ID"),IF(COUNTIFS($A$11:$A$210,A160)&gt;1,"ID duplicado",IF(AND(OR(H160="Contratado",H160="Implementación",H160="Entregado"),NOT(ISNUMBER(N160))),"Completar cierre",IF(H160="Entregado",IF(NOT(ISNUMBER(O160)),"Completar cierre","Cerrado"),IF(H160="Descartado",IF(P160="","Completar cierre","Cerrado"),IF(OR(C160="",D160="",E160="",F160="",G160="",H160="",I160="",K160="",L160="",B160=""),"Completar gestión",IF(NOT(ISNUMBER(L160)),"Revisar fecha",IF(L160&lt;TODAY(),"Vencido",IF(L160=TODAY(),"Hoy","Programado")))))))))</x:f>
      </x:c>
      <x:c r="N160" s="12"/>
      <x:c r="O160" s="12"/>
      <x:c r="P160" s="10"/>
      <x:c r="Q160" s="10"/>
    </x:row>
    <x:row r="161" ht="28" customHeight="1">
      <x:c r="A161" s="13"/>
      <x:c r="B161" s="12"/>
      <x:c r="C161" s="10"/>
      <x:c r="D161" s="13"/>
      <x:c r="E161" s="10"/>
      <x:c r="F161" s="10"/>
      <x:c r="G161" s="10"/>
      <x:c r="H161" s="10"/>
      <x:c r="I161" s="10"/>
      <x:c r="J161" s="12"/>
      <x:c r="K161" s="10"/>
      <x:c r="L161" s="12"/>
      <x:c r="M161" s="11" t="str">
        <x:f>IF(A161="",IF(C161="","","Falta ID"),IF(COUNTIFS($A$11:$A$210,A161)&gt;1,"ID duplicado",IF(AND(OR(H161="Contratado",H161="Implementación",H161="Entregado"),NOT(ISNUMBER(N161))),"Completar cierre",IF(H161="Entregado",IF(NOT(ISNUMBER(O161)),"Completar cierre","Cerrado"),IF(H161="Descartado",IF(P161="","Completar cierre","Cerrado"),IF(OR(C161="",D161="",E161="",F161="",G161="",H161="",I161="",K161="",L161="",B161=""),"Completar gestión",IF(NOT(ISNUMBER(L161)),"Revisar fecha",IF(L161&lt;TODAY(),"Vencido",IF(L161=TODAY(),"Hoy","Programado")))))))))</x:f>
      </x:c>
      <x:c r="N161" s="12"/>
      <x:c r="O161" s="12"/>
      <x:c r="P161" s="10"/>
      <x:c r="Q161" s="10"/>
    </x:row>
    <x:row r="162" ht="28" customHeight="1">
      <x:c r="A162" s="13"/>
      <x:c r="B162" s="12"/>
      <x:c r="C162" s="10"/>
      <x:c r="D162" s="13"/>
      <x:c r="E162" s="10"/>
      <x:c r="F162" s="10"/>
      <x:c r="G162" s="10"/>
      <x:c r="H162" s="10"/>
      <x:c r="I162" s="10"/>
      <x:c r="J162" s="12"/>
      <x:c r="K162" s="10"/>
      <x:c r="L162" s="12"/>
      <x:c r="M162" s="11" t="str">
        <x:f>IF(A162="",IF(C162="","","Falta ID"),IF(COUNTIFS($A$11:$A$210,A162)&gt;1,"ID duplicado",IF(AND(OR(H162="Contratado",H162="Implementación",H162="Entregado"),NOT(ISNUMBER(N162))),"Completar cierre",IF(H162="Entregado",IF(NOT(ISNUMBER(O162)),"Completar cierre","Cerrado"),IF(H162="Descartado",IF(P162="","Completar cierre","Cerrado"),IF(OR(C162="",D162="",E162="",F162="",G162="",H162="",I162="",K162="",L162="",B162=""),"Completar gestión",IF(NOT(ISNUMBER(L162)),"Revisar fecha",IF(L162&lt;TODAY(),"Vencido",IF(L162=TODAY(),"Hoy","Programado")))))))))</x:f>
      </x:c>
      <x:c r="N162" s="12"/>
      <x:c r="O162" s="12"/>
      <x:c r="P162" s="10"/>
      <x:c r="Q162" s="10"/>
    </x:row>
    <x:row r="163" ht="28" customHeight="1">
      <x:c r="A163" s="13"/>
      <x:c r="B163" s="12"/>
      <x:c r="C163" s="10"/>
      <x:c r="D163" s="13"/>
      <x:c r="E163" s="10"/>
      <x:c r="F163" s="10"/>
      <x:c r="G163" s="10"/>
      <x:c r="H163" s="10"/>
      <x:c r="I163" s="10"/>
      <x:c r="J163" s="12"/>
      <x:c r="K163" s="10"/>
      <x:c r="L163" s="12"/>
      <x:c r="M163" s="11" t="str">
        <x:f>IF(A163="",IF(C163="","","Falta ID"),IF(COUNTIFS($A$11:$A$210,A163)&gt;1,"ID duplicado",IF(AND(OR(H163="Contratado",H163="Implementación",H163="Entregado"),NOT(ISNUMBER(N163))),"Completar cierre",IF(H163="Entregado",IF(NOT(ISNUMBER(O163)),"Completar cierre","Cerrado"),IF(H163="Descartado",IF(P163="","Completar cierre","Cerrado"),IF(OR(C163="",D163="",E163="",F163="",G163="",H163="",I163="",K163="",L163="",B163=""),"Completar gestión",IF(NOT(ISNUMBER(L163)),"Revisar fecha",IF(L163&lt;TODAY(),"Vencido",IF(L163=TODAY(),"Hoy","Programado")))))))))</x:f>
      </x:c>
      <x:c r="N163" s="12"/>
      <x:c r="O163" s="12"/>
      <x:c r="P163" s="10"/>
      <x:c r="Q163" s="10"/>
    </x:row>
    <x:row r="164" ht="28" customHeight="1">
      <x:c r="A164" s="13"/>
      <x:c r="B164" s="12"/>
      <x:c r="C164" s="10"/>
      <x:c r="D164" s="13"/>
      <x:c r="E164" s="10"/>
      <x:c r="F164" s="10"/>
      <x:c r="G164" s="10"/>
      <x:c r="H164" s="10"/>
      <x:c r="I164" s="10"/>
      <x:c r="J164" s="12"/>
      <x:c r="K164" s="10"/>
      <x:c r="L164" s="12"/>
      <x:c r="M164" s="11" t="str">
        <x:f>IF(A164="",IF(C164="","","Falta ID"),IF(COUNTIFS($A$11:$A$210,A164)&gt;1,"ID duplicado",IF(AND(OR(H164="Contratado",H164="Implementación",H164="Entregado"),NOT(ISNUMBER(N164))),"Completar cierre",IF(H164="Entregado",IF(NOT(ISNUMBER(O164)),"Completar cierre","Cerrado"),IF(H164="Descartado",IF(P164="","Completar cierre","Cerrado"),IF(OR(C164="",D164="",E164="",F164="",G164="",H164="",I164="",K164="",L164="",B164=""),"Completar gestión",IF(NOT(ISNUMBER(L164)),"Revisar fecha",IF(L164&lt;TODAY(),"Vencido",IF(L164=TODAY(),"Hoy","Programado")))))))))</x:f>
      </x:c>
      <x:c r="N164" s="12"/>
      <x:c r="O164" s="12"/>
      <x:c r="P164" s="10"/>
      <x:c r="Q164" s="10"/>
    </x:row>
    <x:row r="165" ht="28" customHeight="1">
      <x:c r="A165" s="13"/>
      <x:c r="B165" s="12"/>
      <x:c r="C165" s="10"/>
      <x:c r="D165" s="13"/>
      <x:c r="E165" s="10"/>
      <x:c r="F165" s="10"/>
      <x:c r="G165" s="10"/>
      <x:c r="H165" s="10"/>
      <x:c r="I165" s="10"/>
      <x:c r="J165" s="12"/>
      <x:c r="K165" s="10"/>
      <x:c r="L165" s="12"/>
      <x:c r="M165" s="11" t="str">
        <x:f>IF(A165="",IF(C165="","","Falta ID"),IF(COUNTIFS($A$11:$A$210,A165)&gt;1,"ID duplicado",IF(AND(OR(H165="Contratado",H165="Implementación",H165="Entregado"),NOT(ISNUMBER(N165))),"Completar cierre",IF(H165="Entregado",IF(NOT(ISNUMBER(O165)),"Completar cierre","Cerrado"),IF(H165="Descartado",IF(P165="","Completar cierre","Cerrado"),IF(OR(C165="",D165="",E165="",F165="",G165="",H165="",I165="",K165="",L165="",B165=""),"Completar gestión",IF(NOT(ISNUMBER(L165)),"Revisar fecha",IF(L165&lt;TODAY(),"Vencido",IF(L165=TODAY(),"Hoy","Programado")))))))))</x:f>
      </x:c>
      <x:c r="N165" s="12"/>
      <x:c r="O165" s="12"/>
      <x:c r="P165" s="10"/>
      <x:c r="Q165" s="10"/>
    </x:row>
    <x:row r="166" ht="28" customHeight="1">
      <x:c r="A166" s="13"/>
      <x:c r="B166" s="12"/>
      <x:c r="C166" s="10"/>
      <x:c r="D166" s="13"/>
      <x:c r="E166" s="10"/>
      <x:c r="F166" s="10"/>
      <x:c r="G166" s="10"/>
      <x:c r="H166" s="10"/>
      <x:c r="I166" s="10"/>
      <x:c r="J166" s="12"/>
      <x:c r="K166" s="10"/>
      <x:c r="L166" s="12"/>
      <x:c r="M166" s="11" t="str">
        <x:f>IF(A166="",IF(C166="","","Falta ID"),IF(COUNTIFS($A$11:$A$210,A166)&gt;1,"ID duplicado",IF(AND(OR(H166="Contratado",H166="Implementación",H166="Entregado"),NOT(ISNUMBER(N166))),"Completar cierre",IF(H166="Entregado",IF(NOT(ISNUMBER(O166)),"Completar cierre","Cerrado"),IF(H166="Descartado",IF(P166="","Completar cierre","Cerrado"),IF(OR(C166="",D166="",E166="",F166="",G166="",H166="",I166="",K166="",L166="",B166=""),"Completar gestión",IF(NOT(ISNUMBER(L166)),"Revisar fecha",IF(L166&lt;TODAY(),"Vencido",IF(L166=TODAY(),"Hoy","Programado")))))))))</x:f>
      </x:c>
      <x:c r="N166" s="12"/>
      <x:c r="O166" s="12"/>
      <x:c r="P166" s="10"/>
      <x:c r="Q166" s="10"/>
    </x:row>
    <x:row r="167" ht="28" customHeight="1">
      <x:c r="A167" s="13"/>
      <x:c r="B167" s="12"/>
      <x:c r="C167" s="10"/>
      <x:c r="D167" s="13"/>
      <x:c r="E167" s="10"/>
      <x:c r="F167" s="10"/>
      <x:c r="G167" s="10"/>
      <x:c r="H167" s="10"/>
      <x:c r="I167" s="10"/>
      <x:c r="J167" s="12"/>
      <x:c r="K167" s="10"/>
      <x:c r="L167" s="12"/>
      <x:c r="M167" s="11" t="str">
        <x:f>IF(A167="",IF(C167="","","Falta ID"),IF(COUNTIFS($A$11:$A$210,A167)&gt;1,"ID duplicado",IF(AND(OR(H167="Contratado",H167="Implementación",H167="Entregado"),NOT(ISNUMBER(N167))),"Completar cierre",IF(H167="Entregado",IF(NOT(ISNUMBER(O167)),"Completar cierre","Cerrado"),IF(H167="Descartado",IF(P167="","Completar cierre","Cerrado"),IF(OR(C167="",D167="",E167="",F167="",G167="",H167="",I167="",K167="",L167="",B167=""),"Completar gestión",IF(NOT(ISNUMBER(L167)),"Revisar fecha",IF(L167&lt;TODAY(),"Vencido",IF(L167=TODAY(),"Hoy","Programado")))))))))</x:f>
      </x:c>
      <x:c r="N167" s="12"/>
      <x:c r="O167" s="12"/>
      <x:c r="P167" s="10"/>
      <x:c r="Q167" s="10"/>
    </x:row>
    <x:row r="168" ht="28" customHeight="1">
      <x:c r="A168" s="13"/>
      <x:c r="B168" s="12"/>
      <x:c r="C168" s="10"/>
      <x:c r="D168" s="13"/>
      <x:c r="E168" s="10"/>
      <x:c r="F168" s="10"/>
      <x:c r="G168" s="10"/>
      <x:c r="H168" s="10"/>
      <x:c r="I168" s="10"/>
      <x:c r="J168" s="12"/>
      <x:c r="K168" s="10"/>
      <x:c r="L168" s="12"/>
      <x:c r="M168" s="11" t="str">
        <x:f>IF(A168="",IF(C168="","","Falta ID"),IF(COUNTIFS($A$11:$A$210,A168)&gt;1,"ID duplicado",IF(AND(OR(H168="Contratado",H168="Implementación",H168="Entregado"),NOT(ISNUMBER(N168))),"Completar cierre",IF(H168="Entregado",IF(NOT(ISNUMBER(O168)),"Completar cierre","Cerrado"),IF(H168="Descartado",IF(P168="","Completar cierre","Cerrado"),IF(OR(C168="",D168="",E168="",F168="",G168="",H168="",I168="",K168="",L168="",B168=""),"Completar gestión",IF(NOT(ISNUMBER(L168)),"Revisar fecha",IF(L168&lt;TODAY(),"Vencido",IF(L168=TODAY(),"Hoy","Programado")))))))))</x:f>
      </x:c>
      <x:c r="N168" s="12"/>
      <x:c r="O168" s="12"/>
      <x:c r="P168" s="10"/>
      <x:c r="Q168" s="10"/>
    </x:row>
    <x:row r="169" ht="28" customHeight="1">
      <x:c r="A169" s="13"/>
      <x:c r="B169" s="12"/>
      <x:c r="C169" s="10"/>
      <x:c r="D169" s="13"/>
      <x:c r="E169" s="10"/>
      <x:c r="F169" s="10"/>
      <x:c r="G169" s="10"/>
      <x:c r="H169" s="10"/>
      <x:c r="I169" s="10"/>
      <x:c r="J169" s="12"/>
      <x:c r="K169" s="10"/>
      <x:c r="L169" s="12"/>
      <x:c r="M169" s="11" t="str">
        <x:f>IF(A169="",IF(C169="","","Falta ID"),IF(COUNTIFS($A$11:$A$210,A169)&gt;1,"ID duplicado",IF(AND(OR(H169="Contratado",H169="Implementación",H169="Entregado"),NOT(ISNUMBER(N169))),"Completar cierre",IF(H169="Entregado",IF(NOT(ISNUMBER(O169)),"Completar cierre","Cerrado"),IF(H169="Descartado",IF(P169="","Completar cierre","Cerrado"),IF(OR(C169="",D169="",E169="",F169="",G169="",H169="",I169="",K169="",L169="",B169=""),"Completar gestión",IF(NOT(ISNUMBER(L169)),"Revisar fecha",IF(L169&lt;TODAY(),"Vencido",IF(L169=TODAY(),"Hoy","Programado")))))))))</x:f>
      </x:c>
      <x:c r="N169" s="12"/>
      <x:c r="O169" s="12"/>
      <x:c r="P169" s="10"/>
      <x:c r="Q169" s="10"/>
    </x:row>
    <x:row r="170" ht="28" customHeight="1">
      <x:c r="A170" s="13"/>
      <x:c r="B170" s="12"/>
      <x:c r="C170" s="10"/>
      <x:c r="D170" s="13"/>
      <x:c r="E170" s="10"/>
      <x:c r="F170" s="10"/>
      <x:c r="G170" s="10"/>
      <x:c r="H170" s="10"/>
      <x:c r="I170" s="10"/>
      <x:c r="J170" s="12"/>
      <x:c r="K170" s="10"/>
      <x:c r="L170" s="12"/>
      <x:c r="M170" s="11" t="str">
        <x:f>IF(A170="",IF(C170="","","Falta ID"),IF(COUNTIFS($A$11:$A$210,A170)&gt;1,"ID duplicado",IF(AND(OR(H170="Contratado",H170="Implementación",H170="Entregado"),NOT(ISNUMBER(N170))),"Completar cierre",IF(H170="Entregado",IF(NOT(ISNUMBER(O170)),"Completar cierre","Cerrado"),IF(H170="Descartado",IF(P170="","Completar cierre","Cerrado"),IF(OR(C170="",D170="",E170="",F170="",G170="",H170="",I170="",K170="",L170="",B170=""),"Completar gestión",IF(NOT(ISNUMBER(L170)),"Revisar fecha",IF(L170&lt;TODAY(),"Vencido",IF(L170=TODAY(),"Hoy","Programado")))))))))</x:f>
      </x:c>
      <x:c r="N170" s="12"/>
      <x:c r="O170" s="12"/>
      <x:c r="P170" s="10"/>
      <x:c r="Q170" s="10"/>
    </x:row>
    <x:row r="171" ht="28" customHeight="1">
      <x:c r="A171" s="13"/>
      <x:c r="B171" s="12"/>
      <x:c r="C171" s="10"/>
      <x:c r="D171" s="13"/>
      <x:c r="E171" s="10"/>
      <x:c r="F171" s="10"/>
      <x:c r="G171" s="10"/>
      <x:c r="H171" s="10"/>
      <x:c r="I171" s="10"/>
      <x:c r="J171" s="12"/>
      <x:c r="K171" s="10"/>
      <x:c r="L171" s="12"/>
      <x:c r="M171" s="11" t="str">
        <x:f>IF(A171="",IF(C171="","","Falta ID"),IF(COUNTIFS($A$11:$A$210,A171)&gt;1,"ID duplicado",IF(AND(OR(H171="Contratado",H171="Implementación",H171="Entregado"),NOT(ISNUMBER(N171))),"Completar cierre",IF(H171="Entregado",IF(NOT(ISNUMBER(O171)),"Completar cierre","Cerrado"),IF(H171="Descartado",IF(P171="","Completar cierre","Cerrado"),IF(OR(C171="",D171="",E171="",F171="",G171="",H171="",I171="",K171="",L171="",B171=""),"Completar gestión",IF(NOT(ISNUMBER(L171)),"Revisar fecha",IF(L171&lt;TODAY(),"Vencido",IF(L171=TODAY(),"Hoy","Programado")))))))))</x:f>
      </x:c>
      <x:c r="N171" s="12"/>
      <x:c r="O171" s="12"/>
      <x:c r="P171" s="10"/>
      <x:c r="Q171" s="10"/>
    </x:row>
    <x:row r="172" ht="28" customHeight="1">
      <x:c r="A172" s="13"/>
      <x:c r="B172" s="12"/>
      <x:c r="C172" s="10"/>
      <x:c r="D172" s="13"/>
      <x:c r="E172" s="10"/>
      <x:c r="F172" s="10"/>
      <x:c r="G172" s="10"/>
      <x:c r="H172" s="10"/>
      <x:c r="I172" s="10"/>
      <x:c r="J172" s="12"/>
      <x:c r="K172" s="10"/>
      <x:c r="L172" s="12"/>
      <x:c r="M172" s="11" t="str">
        <x:f>IF(A172="",IF(C172="","","Falta ID"),IF(COUNTIFS($A$11:$A$210,A172)&gt;1,"ID duplicado",IF(AND(OR(H172="Contratado",H172="Implementación",H172="Entregado"),NOT(ISNUMBER(N172))),"Completar cierre",IF(H172="Entregado",IF(NOT(ISNUMBER(O172)),"Completar cierre","Cerrado"),IF(H172="Descartado",IF(P172="","Completar cierre","Cerrado"),IF(OR(C172="",D172="",E172="",F172="",G172="",H172="",I172="",K172="",L172="",B172=""),"Completar gestión",IF(NOT(ISNUMBER(L172)),"Revisar fecha",IF(L172&lt;TODAY(),"Vencido",IF(L172=TODAY(),"Hoy","Programado")))))))))</x:f>
      </x:c>
      <x:c r="N172" s="12"/>
      <x:c r="O172" s="12"/>
      <x:c r="P172" s="10"/>
      <x:c r="Q172" s="10"/>
    </x:row>
    <x:row r="173" ht="28" customHeight="1">
      <x:c r="A173" s="13"/>
      <x:c r="B173" s="12"/>
      <x:c r="C173" s="10"/>
      <x:c r="D173" s="13"/>
      <x:c r="E173" s="10"/>
      <x:c r="F173" s="10"/>
      <x:c r="G173" s="10"/>
      <x:c r="H173" s="10"/>
      <x:c r="I173" s="10"/>
      <x:c r="J173" s="12"/>
      <x:c r="K173" s="10"/>
      <x:c r="L173" s="12"/>
      <x:c r="M173" s="11" t="str">
        <x:f>IF(A173="",IF(C173="","","Falta ID"),IF(COUNTIFS($A$11:$A$210,A173)&gt;1,"ID duplicado",IF(AND(OR(H173="Contratado",H173="Implementación",H173="Entregado"),NOT(ISNUMBER(N173))),"Completar cierre",IF(H173="Entregado",IF(NOT(ISNUMBER(O173)),"Completar cierre","Cerrado"),IF(H173="Descartado",IF(P173="","Completar cierre","Cerrado"),IF(OR(C173="",D173="",E173="",F173="",G173="",H173="",I173="",K173="",L173="",B173=""),"Completar gestión",IF(NOT(ISNUMBER(L173)),"Revisar fecha",IF(L173&lt;TODAY(),"Vencido",IF(L173=TODAY(),"Hoy","Programado")))))))))</x:f>
      </x:c>
      <x:c r="N173" s="12"/>
      <x:c r="O173" s="12"/>
      <x:c r="P173" s="10"/>
      <x:c r="Q173" s="10"/>
    </x:row>
    <x:row r="174" ht="28" customHeight="1">
      <x:c r="A174" s="13"/>
      <x:c r="B174" s="12"/>
      <x:c r="C174" s="10"/>
      <x:c r="D174" s="13"/>
      <x:c r="E174" s="10"/>
      <x:c r="F174" s="10"/>
      <x:c r="G174" s="10"/>
      <x:c r="H174" s="10"/>
      <x:c r="I174" s="10"/>
      <x:c r="J174" s="12"/>
      <x:c r="K174" s="10"/>
      <x:c r="L174" s="12"/>
      <x:c r="M174" s="11" t="str">
        <x:f>IF(A174="",IF(C174="","","Falta ID"),IF(COUNTIFS($A$11:$A$210,A174)&gt;1,"ID duplicado",IF(AND(OR(H174="Contratado",H174="Implementación",H174="Entregado"),NOT(ISNUMBER(N174))),"Completar cierre",IF(H174="Entregado",IF(NOT(ISNUMBER(O174)),"Completar cierre","Cerrado"),IF(H174="Descartado",IF(P174="","Completar cierre","Cerrado"),IF(OR(C174="",D174="",E174="",F174="",G174="",H174="",I174="",K174="",L174="",B174=""),"Completar gestión",IF(NOT(ISNUMBER(L174)),"Revisar fecha",IF(L174&lt;TODAY(),"Vencido",IF(L174=TODAY(),"Hoy","Programado")))))))))</x:f>
      </x:c>
      <x:c r="N174" s="12"/>
      <x:c r="O174" s="12"/>
      <x:c r="P174" s="10"/>
      <x:c r="Q174" s="10"/>
    </x:row>
    <x:row r="175" ht="28" customHeight="1">
      <x:c r="A175" s="13"/>
      <x:c r="B175" s="12"/>
      <x:c r="C175" s="10"/>
      <x:c r="D175" s="13"/>
      <x:c r="E175" s="10"/>
      <x:c r="F175" s="10"/>
      <x:c r="G175" s="10"/>
      <x:c r="H175" s="10"/>
      <x:c r="I175" s="10"/>
      <x:c r="J175" s="12"/>
      <x:c r="K175" s="10"/>
      <x:c r="L175" s="12"/>
      <x:c r="M175" s="11" t="str">
        <x:f>IF(A175="",IF(C175="","","Falta ID"),IF(COUNTIFS($A$11:$A$210,A175)&gt;1,"ID duplicado",IF(AND(OR(H175="Contratado",H175="Implementación",H175="Entregado"),NOT(ISNUMBER(N175))),"Completar cierre",IF(H175="Entregado",IF(NOT(ISNUMBER(O175)),"Completar cierre","Cerrado"),IF(H175="Descartado",IF(P175="","Completar cierre","Cerrado"),IF(OR(C175="",D175="",E175="",F175="",G175="",H175="",I175="",K175="",L175="",B175=""),"Completar gestión",IF(NOT(ISNUMBER(L175)),"Revisar fecha",IF(L175&lt;TODAY(),"Vencido",IF(L175=TODAY(),"Hoy","Programado")))))))))</x:f>
      </x:c>
      <x:c r="N175" s="12"/>
      <x:c r="O175" s="12"/>
      <x:c r="P175" s="10"/>
      <x:c r="Q175" s="10"/>
    </x:row>
    <x:row r="176" ht="28" customHeight="1">
      <x:c r="A176" s="13"/>
      <x:c r="B176" s="12"/>
      <x:c r="C176" s="10"/>
      <x:c r="D176" s="13"/>
      <x:c r="E176" s="10"/>
      <x:c r="F176" s="10"/>
      <x:c r="G176" s="10"/>
      <x:c r="H176" s="10"/>
      <x:c r="I176" s="10"/>
      <x:c r="J176" s="12"/>
      <x:c r="K176" s="10"/>
      <x:c r="L176" s="12"/>
      <x:c r="M176" s="11" t="str">
        <x:f>IF(A176="",IF(C176="","","Falta ID"),IF(COUNTIFS($A$11:$A$210,A176)&gt;1,"ID duplicado",IF(AND(OR(H176="Contratado",H176="Implementación",H176="Entregado"),NOT(ISNUMBER(N176))),"Completar cierre",IF(H176="Entregado",IF(NOT(ISNUMBER(O176)),"Completar cierre","Cerrado"),IF(H176="Descartado",IF(P176="","Completar cierre","Cerrado"),IF(OR(C176="",D176="",E176="",F176="",G176="",H176="",I176="",K176="",L176="",B176=""),"Completar gestión",IF(NOT(ISNUMBER(L176)),"Revisar fecha",IF(L176&lt;TODAY(),"Vencido",IF(L176=TODAY(),"Hoy","Programado")))))))))</x:f>
      </x:c>
      <x:c r="N176" s="12"/>
      <x:c r="O176" s="12"/>
      <x:c r="P176" s="10"/>
      <x:c r="Q176" s="10"/>
    </x:row>
    <x:row r="177" ht="28" customHeight="1">
      <x:c r="A177" s="13"/>
      <x:c r="B177" s="12"/>
      <x:c r="C177" s="10"/>
      <x:c r="D177" s="13"/>
      <x:c r="E177" s="10"/>
      <x:c r="F177" s="10"/>
      <x:c r="G177" s="10"/>
      <x:c r="H177" s="10"/>
      <x:c r="I177" s="10"/>
      <x:c r="J177" s="12"/>
      <x:c r="K177" s="10"/>
      <x:c r="L177" s="12"/>
      <x:c r="M177" s="11" t="str">
        <x:f>IF(A177="",IF(C177="","","Falta ID"),IF(COUNTIFS($A$11:$A$210,A177)&gt;1,"ID duplicado",IF(AND(OR(H177="Contratado",H177="Implementación",H177="Entregado"),NOT(ISNUMBER(N177))),"Completar cierre",IF(H177="Entregado",IF(NOT(ISNUMBER(O177)),"Completar cierre","Cerrado"),IF(H177="Descartado",IF(P177="","Completar cierre","Cerrado"),IF(OR(C177="",D177="",E177="",F177="",G177="",H177="",I177="",K177="",L177="",B177=""),"Completar gestión",IF(NOT(ISNUMBER(L177)),"Revisar fecha",IF(L177&lt;TODAY(),"Vencido",IF(L177=TODAY(),"Hoy","Programado")))))))))</x:f>
      </x:c>
      <x:c r="N177" s="12"/>
      <x:c r="O177" s="12"/>
      <x:c r="P177" s="10"/>
      <x:c r="Q177" s="10"/>
    </x:row>
    <x:row r="178" ht="28" customHeight="1">
      <x:c r="A178" s="13"/>
      <x:c r="B178" s="12"/>
      <x:c r="C178" s="10"/>
      <x:c r="D178" s="13"/>
      <x:c r="E178" s="10"/>
      <x:c r="F178" s="10"/>
      <x:c r="G178" s="10"/>
      <x:c r="H178" s="10"/>
      <x:c r="I178" s="10"/>
      <x:c r="J178" s="12"/>
      <x:c r="K178" s="10"/>
      <x:c r="L178" s="12"/>
      <x:c r="M178" s="11" t="str">
        <x:f>IF(A178="",IF(C178="","","Falta ID"),IF(COUNTIFS($A$11:$A$210,A178)&gt;1,"ID duplicado",IF(AND(OR(H178="Contratado",H178="Implementación",H178="Entregado"),NOT(ISNUMBER(N178))),"Completar cierre",IF(H178="Entregado",IF(NOT(ISNUMBER(O178)),"Completar cierre","Cerrado"),IF(H178="Descartado",IF(P178="","Completar cierre","Cerrado"),IF(OR(C178="",D178="",E178="",F178="",G178="",H178="",I178="",K178="",L178="",B178=""),"Completar gestión",IF(NOT(ISNUMBER(L178)),"Revisar fecha",IF(L178&lt;TODAY(),"Vencido",IF(L178=TODAY(),"Hoy","Programado")))))))))</x:f>
      </x:c>
      <x:c r="N178" s="12"/>
      <x:c r="O178" s="12"/>
      <x:c r="P178" s="10"/>
      <x:c r="Q178" s="10"/>
    </x:row>
    <x:row r="179" ht="28" customHeight="1">
      <x:c r="A179" s="13"/>
      <x:c r="B179" s="12"/>
      <x:c r="C179" s="10"/>
      <x:c r="D179" s="13"/>
      <x:c r="E179" s="10"/>
      <x:c r="F179" s="10"/>
      <x:c r="G179" s="10"/>
      <x:c r="H179" s="10"/>
      <x:c r="I179" s="10"/>
      <x:c r="J179" s="12"/>
      <x:c r="K179" s="10"/>
      <x:c r="L179" s="12"/>
      <x:c r="M179" s="11" t="str">
        <x:f>IF(A179="",IF(C179="","","Falta ID"),IF(COUNTIFS($A$11:$A$210,A179)&gt;1,"ID duplicado",IF(AND(OR(H179="Contratado",H179="Implementación",H179="Entregado"),NOT(ISNUMBER(N179))),"Completar cierre",IF(H179="Entregado",IF(NOT(ISNUMBER(O179)),"Completar cierre","Cerrado"),IF(H179="Descartado",IF(P179="","Completar cierre","Cerrado"),IF(OR(C179="",D179="",E179="",F179="",G179="",H179="",I179="",K179="",L179="",B179=""),"Completar gestión",IF(NOT(ISNUMBER(L179)),"Revisar fecha",IF(L179&lt;TODAY(),"Vencido",IF(L179=TODAY(),"Hoy","Programado")))))))))</x:f>
      </x:c>
      <x:c r="N179" s="12"/>
      <x:c r="O179" s="12"/>
      <x:c r="P179" s="10"/>
      <x:c r="Q179" s="10"/>
    </x:row>
    <x:row r="180" ht="28" customHeight="1">
      <x:c r="A180" s="13"/>
      <x:c r="B180" s="12"/>
      <x:c r="C180" s="10"/>
      <x:c r="D180" s="13"/>
      <x:c r="E180" s="10"/>
      <x:c r="F180" s="10"/>
      <x:c r="G180" s="10"/>
      <x:c r="H180" s="10"/>
      <x:c r="I180" s="10"/>
      <x:c r="J180" s="12"/>
      <x:c r="K180" s="10"/>
      <x:c r="L180" s="12"/>
      <x:c r="M180" s="11" t="str">
        <x:f>IF(A180="",IF(C180="","","Falta ID"),IF(COUNTIFS($A$11:$A$210,A180)&gt;1,"ID duplicado",IF(AND(OR(H180="Contratado",H180="Implementación",H180="Entregado"),NOT(ISNUMBER(N180))),"Completar cierre",IF(H180="Entregado",IF(NOT(ISNUMBER(O180)),"Completar cierre","Cerrado"),IF(H180="Descartado",IF(P180="","Completar cierre","Cerrado"),IF(OR(C180="",D180="",E180="",F180="",G180="",H180="",I180="",K180="",L180="",B180=""),"Completar gestión",IF(NOT(ISNUMBER(L180)),"Revisar fecha",IF(L180&lt;TODAY(),"Vencido",IF(L180=TODAY(),"Hoy","Programado")))))))))</x:f>
      </x:c>
      <x:c r="N180" s="12"/>
      <x:c r="O180" s="12"/>
      <x:c r="P180" s="10"/>
      <x:c r="Q180" s="10"/>
    </x:row>
    <x:row r="181" ht="28" customHeight="1">
      <x:c r="A181" s="13"/>
      <x:c r="B181" s="12"/>
      <x:c r="C181" s="10"/>
      <x:c r="D181" s="13"/>
      <x:c r="E181" s="10"/>
      <x:c r="F181" s="10"/>
      <x:c r="G181" s="10"/>
      <x:c r="H181" s="10"/>
      <x:c r="I181" s="10"/>
      <x:c r="J181" s="12"/>
      <x:c r="K181" s="10"/>
      <x:c r="L181" s="12"/>
      <x:c r="M181" s="11" t="str">
        <x:f>IF(A181="",IF(C181="","","Falta ID"),IF(COUNTIFS($A$11:$A$210,A181)&gt;1,"ID duplicado",IF(AND(OR(H181="Contratado",H181="Implementación",H181="Entregado"),NOT(ISNUMBER(N181))),"Completar cierre",IF(H181="Entregado",IF(NOT(ISNUMBER(O181)),"Completar cierre","Cerrado"),IF(H181="Descartado",IF(P181="","Completar cierre","Cerrado"),IF(OR(C181="",D181="",E181="",F181="",G181="",H181="",I181="",K181="",L181="",B181=""),"Completar gestión",IF(NOT(ISNUMBER(L181)),"Revisar fecha",IF(L181&lt;TODAY(),"Vencido",IF(L181=TODAY(),"Hoy","Programado")))))))))</x:f>
      </x:c>
      <x:c r="N181" s="12"/>
      <x:c r="O181" s="12"/>
      <x:c r="P181" s="10"/>
      <x:c r="Q181" s="10"/>
    </x:row>
    <x:row r="182" ht="28" customHeight="1">
      <x:c r="A182" s="13"/>
      <x:c r="B182" s="12"/>
      <x:c r="C182" s="10"/>
      <x:c r="D182" s="13"/>
      <x:c r="E182" s="10"/>
      <x:c r="F182" s="10"/>
      <x:c r="G182" s="10"/>
      <x:c r="H182" s="10"/>
      <x:c r="I182" s="10"/>
      <x:c r="J182" s="12"/>
      <x:c r="K182" s="10"/>
      <x:c r="L182" s="12"/>
      <x:c r="M182" s="11" t="str">
        <x:f>IF(A182="",IF(C182="","","Falta ID"),IF(COUNTIFS($A$11:$A$210,A182)&gt;1,"ID duplicado",IF(AND(OR(H182="Contratado",H182="Implementación",H182="Entregado"),NOT(ISNUMBER(N182))),"Completar cierre",IF(H182="Entregado",IF(NOT(ISNUMBER(O182)),"Completar cierre","Cerrado"),IF(H182="Descartado",IF(P182="","Completar cierre","Cerrado"),IF(OR(C182="",D182="",E182="",F182="",G182="",H182="",I182="",K182="",L182="",B182=""),"Completar gestión",IF(NOT(ISNUMBER(L182)),"Revisar fecha",IF(L182&lt;TODAY(),"Vencido",IF(L182=TODAY(),"Hoy","Programado")))))))))</x:f>
      </x:c>
      <x:c r="N182" s="12"/>
      <x:c r="O182" s="12"/>
      <x:c r="P182" s="10"/>
      <x:c r="Q182" s="10"/>
    </x:row>
    <x:row r="183" ht="28" customHeight="1">
      <x:c r="A183" s="13"/>
      <x:c r="B183" s="12"/>
      <x:c r="C183" s="10"/>
      <x:c r="D183" s="13"/>
      <x:c r="E183" s="10"/>
      <x:c r="F183" s="10"/>
      <x:c r="G183" s="10"/>
      <x:c r="H183" s="10"/>
      <x:c r="I183" s="10"/>
      <x:c r="J183" s="12"/>
      <x:c r="K183" s="10"/>
      <x:c r="L183" s="12"/>
      <x:c r="M183" s="11" t="str">
        <x:f>IF(A183="",IF(C183="","","Falta ID"),IF(COUNTIFS($A$11:$A$210,A183)&gt;1,"ID duplicado",IF(AND(OR(H183="Contratado",H183="Implementación",H183="Entregado"),NOT(ISNUMBER(N183))),"Completar cierre",IF(H183="Entregado",IF(NOT(ISNUMBER(O183)),"Completar cierre","Cerrado"),IF(H183="Descartado",IF(P183="","Completar cierre","Cerrado"),IF(OR(C183="",D183="",E183="",F183="",G183="",H183="",I183="",K183="",L183="",B183=""),"Completar gestión",IF(NOT(ISNUMBER(L183)),"Revisar fecha",IF(L183&lt;TODAY(),"Vencido",IF(L183=TODAY(),"Hoy","Programado")))))))))</x:f>
      </x:c>
      <x:c r="N183" s="12"/>
      <x:c r="O183" s="12"/>
      <x:c r="P183" s="10"/>
      <x:c r="Q183" s="10"/>
    </x:row>
    <x:row r="184" ht="28" customHeight="1">
      <x:c r="A184" s="13"/>
      <x:c r="B184" s="12"/>
      <x:c r="C184" s="10"/>
      <x:c r="D184" s="13"/>
      <x:c r="E184" s="10"/>
      <x:c r="F184" s="10"/>
      <x:c r="G184" s="10"/>
      <x:c r="H184" s="10"/>
      <x:c r="I184" s="10"/>
      <x:c r="J184" s="12"/>
      <x:c r="K184" s="10"/>
      <x:c r="L184" s="12"/>
      <x:c r="M184" s="11" t="str">
        <x:f>IF(A184="",IF(C184="","","Falta ID"),IF(COUNTIFS($A$11:$A$210,A184)&gt;1,"ID duplicado",IF(AND(OR(H184="Contratado",H184="Implementación",H184="Entregado"),NOT(ISNUMBER(N184))),"Completar cierre",IF(H184="Entregado",IF(NOT(ISNUMBER(O184)),"Completar cierre","Cerrado"),IF(H184="Descartado",IF(P184="","Completar cierre","Cerrado"),IF(OR(C184="",D184="",E184="",F184="",G184="",H184="",I184="",K184="",L184="",B184=""),"Completar gestión",IF(NOT(ISNUMBER(L184)),"Revisar fecha",IF(L184&lt;TODAY(),"Vencido",IF(L184=TODAY(),"Hoy","Programado")))))))))</x:f>
      </x:c>
      <x:c r="N184" s="12"/>
      <x:c r="O184" s="12"/>
      <x:c r="P184" s="10"/>
      <x:c r="Q184" s="10"/>
    </x:row>
    <x:row r="185" ht="28" customHeight="1">
      <x:c r="A185" s="13"/>
      <x:c r="B185" s="12"/>
      <x:c r="C185" s="10"/>
      <x:c r="D185" s="13"/>
      <x:c r="E185" s="10"/>
      <x:c r="F185" s="10"/>
      <x:c r="G185" s="10"/>
      <x:c r="H185" s="10"/>
      <x:c r="I185" s="10"/>
      <x:c r="J185" s="12"/>
      <x:c r="K185" s="10"/>
      <x:c r="L185" s="12"/>
      <x:c r="M185" s="11" t="str">
        <x:f>IF(A185="",IF(C185="","","Falta ID"),IF(COUNTIFS($A$11:$A$210,A185)&gt;1,"ID duplicado",IF(AND(OR(H185="Contratado",H185="Implementación",H185="Entregado"),NOT(ISNUMBER(N185))),"Completar cierre",IF(H185="Entregado",IF(NOT(ISNUMBER(O185)),"Completar cierre","Cerrado"),IF(H185="Descartado",IF(P185="","Completar cierre","Cerrado"),IF(OR(C185="",D185="",E185="",F185="",G185="",H185="",I185="",K185="",L185="",B185=""),"Completar gestión",IF(NOT(ISNUMBER(L185)),"Revisar fecha",IF(L185&lt;TODAY(),"Vencido",IF(L185=TODAY(),"Hoy","Programado")))))))))</x:f>
      </x:c>
      <x:c r="N185" s="12"/>
      <x:c r="O185" s="12"/>
      <x:c r="P185" s="10"/>
      <x:c r="Q185" s="10"/>
    </x:row>
    <x:row r="186" ht="28" customHeight="1">
      <x:c r="A186" s="13"/>
      <x:c r="B186" s="12"/>
      <x:c r="C186" s="10"/>
      <x:c r="D186" s="13"/>
      <x:c r="E186" s="10"/>
      <x:c r="F186" s="10"/>
      <x:c r="G186" s="10"/>
      <x:c r="H186" s="10"/>
      <x:c r="I186" s="10"/>
      <x:c r="J186" s="12"/>
      <x:c r="K186" s="10"/>
      <x:c r="L186" s="12"/>
      <x:c r="M186" s="11" t="str">
        <x:f>IF(A186="",IF(C186="","","Falta ID"),IF(COUNTIFS($A$11:$A$210,A186)&gt;1,"ID duplicado",IF(AND(OR(H186="Contratado",H186="Implementación",H186="Entregado"),NOT(ISNUMBER(N186))),"Completar cierre",IF(H186="Entregado",IF(NOT(ISNUMBER(O186)),"Completar cierre","Cerrado"),IF(H186="Descartado",IF(P186="","Completar cierre","Cerrado"),IF(OR(C186="",D186="",E186="",F186="",G186="",H186="",I186="",K186="",L186="",B186=""),"Completar gestión",IF(NOT(ISNUMBER(L186)),"Revisar fecha",IF(L186&lt;TODAY(),"Vencido",IF(L186=TODAY(),"Hoy","Programado")))))))))</x:f>
      </x:c>
      <x:c r="N186" s="12"/>
      <x:c r="O186" s="12"/>
      <x:c r="P186" s="10"/>
      <x:c r="Q186" s="10"/>
    </x:row>
    <x:row r="187" ht="28" customHeight="1">
      <x:c r="A187" s="13"/>
      <x:c r="B187" s="12"/>
      <x:c r="C187" s="10"/>
      <x:c r="D187" s="13"/>
      <x:c r="E187" s="10"/>
      <x:c r="F187" s="10"/>
      <x:c r="G187" s="10"/>
      <x:c r="H187" s="10"/>
      <x:c r="I187" s="10"/>
      <x:c r="J187" s="12"/>
      <x:c r="K187" s="10"/>
      <x:c r="L187" s="12"/>
      <x:c r="M187" s="11" t="str">
        <x:f>IF(A187="",IF(C187="","","Falta ID"),IF(COUNTIFS($A$11:$A$210,A187)&gt;1,"ID duplicado",IF(AND(OR(H187="Contratado",H187="Implementación",H187="Entregado"),NOT(ISNUMBER(N187))),"Completar cierre",IF(H187="Entregado",IF(NOT(ISNUMBER(O187)),"Completar cierre","Cerrado"),IF(H187="Descartado",IF(P187="","Completar cierre","Cerrado"),IF(OR(C187="",D187="",E187="",F187="",G187="",H187="",I187="",K187="",L187="",B187=""),"Completar gestión",IF(NOT(ISNUMBER(L187)),"Revisar fecha",IF(L187&lt;TODAY(),"Vencido",IF(L187=TODAY(),"Hoy","Programado")))))))))</x:f>
      </x:c>
      <x:c r="N187" s="12"/>
      <x:c r="O187" s="12"/>
      <x:c r="P187" s="10"/>
      <x:c r="Q187" s="10"/>
    </x:row>
    <x:row r="188" ht="28" customHeight="1">
      <x:c r="A188" s="13"/>
      <x:c r="B188" s="12"/>
      <x:c r="C188" s="10"/>
      <x:c r="D188" s="13"/>
      <x:c r="E188" s="10"/>
      <x:c r="F188" s="10"/>
      <x:c r="G188" s="10"/>
      <x:c r="H188" s="10"/>
      <x:c r="I188" s="10"/>
      <x:c r="J188" s="12"/>
      <x:c r="K188" s="10"/>
      <x:c r="L188" s="12"/>
      <x:c r="M188" s="11" t="str">
        <x:f>IF(A188="",IF(C188="","","Falta ID"),IF(COUNTIFS($A$11:$A$210,A188)&gt;1,"ID duplicado",IF(AND(OR(H188="Contratado",H188="Implementación",H188="Entregado"),NOT(ISNUMBER(N188))),"Completar cierre",IF(H188="Entregado",IF(NOT(ISNUMBER(O188)),"Completar cierre","Cerrado"),IF(H188="Descartado",IF(P188="","Completar cierre","Cerrado"),IF(OR(C188="",D188="",E188="",F188="",G188="",H188="",I188="",K188="",L188="",B188=""),"Completar gestión",IF(NOT(ISNUMBER(L188)),"Revisar fecha",IF(L188&lt;TODAY(),"Vencido",IF(L188=TODAY(),"Hoy","Programado")))))))))</x:f>
      </x:c>
      <x:c r="N188" s="12"/>
      <x:c r="O188" s="12"/>
      <x:c r="P188" s="10"/>
      <x:c r="Q188" s="10"/>
    </x:row>
    <x:row r="189" ht="28" customHeight="1">
      <x:c r="A189" s="13"/>
      <x:c r="B189" s="12"/>
      <x:c r="C189" s="10"/>
      <x:c r="D189" s="13"/>
      <x:c r="E189" s="10"/>
      <x:c r="F189" s="10"/>
      <x:c r="G189" s="10"/>
      <x:c r="H189" s="10"/>
      <x:c r="I189" s="10"/>
      <x:c r="J189" s="12"/>
      <x:c r="K189" s="10"/>
      <x:c r="L189" s="12"/>
      <x:c r="M189" s="11" t="str">
        <x:f>IF(A189="",IF(C189="","","Falta ID"),IF(COUNTIFS($A$11:$A$210,A189)&gt;1,"ID duplicado",IF(AND(OR(H189="Contratado",H189="Implementación",H189="Entregado"),NOT(ISNUMBER(N189))),"Completar cierre",IF(H189="Entregado",IF(NOT(ISNUMBER(O189)),"Completar cierre","Cerrado"),IF(H189="Descartado",IF(P189="","Completar cierre","Cerrado"),IF(OR(C189="",D189="",E189="",F189="",G189="",H189="",I189="",K189="",L189="",B189=""),"Completar gestión",IF(NOT(ISNUMBER(L189)),"Revisar fecha",IF(L189&lt;TODAY(),"Vencido",IF(L189=TODAY(),"Hoy","Programado")))))))))</x:f>
      </x:c>
      <x:c r="N189" s="12"/>
      <x:c r="O189" s="12"/>
      <x:c r="P189" s="10"/>
      <x:c r="Q189" s="10"/>
    </x:row>
    <x:row r="190" ht="28" customHeight="1">
      <x:c r="A190" s="13"/>
      <x:c r="B190" s="12"/>
      <x:c r="C190" s="10"/>
      <x:c r="D190" s="13"/>
      <x:c r="E190" s="10"/>
      <x:c r="F190" s="10"/>
      <x:c r="G190" s="10"/>
      <x:c r="H190" s="10"/>
      <x:c r="I190" s="10"/>
      <x:c r="J190" s="12"/>
      <x:c r="K190" s="10"/>
      <x:c r="L190" s="12"/>
      <x:c r="M190" s="11" t="str">
        <x:f>IF(A190="",IF(C190="","","Falta ID"),IF(COUNTIFS($A$11:$A$210,A190)&gt;1,"ID duplicado",IF(AND(OR(H190="Contratado",H190="Implementación",H190="Entregado"),NOT(ISNUMBER(N190))),"Completar cierre",IF(H190="Entregado",IF(NOT(ISNUMBER(O190)),"Completar cierre","Cerrado"),IF(H190="Descartado",IF(P190="","Completar cierre","Cerrado"),IF(OR(C190="",D190="",E190="",F190="",G190="",H190="",I190="",K190="",L190="",B190=""),"Completar gestión",IF(NOT(ISNUMBER(L190)),"Revisar fecha",IF(L190&lt;TODAY(),"Vencido",IF(L190=TODAY(),"Hoy","Programado")))))))))</x:f>
      </x:c>
      <x:c r="N190" s="12"/>
      <x:c r="O190" s="12"/>
      <x:c r="P190" s="10"/>
      <x:c r="Q190" s="10"/>
    </x:row>
    <x:row r="191" ht="28" customHeight="1">
      <x:c r="A191" s="13"/>
      <x:c r="B191" s="12"/>
      <x:c r="C191" s="10"/>
      <x:c r="D191" s="13"/>
      <x:c r="E191" s="10"/>
      <x:c r="F191" s="10"/>
      <x:c r="G191" s="10"/>
      <x:c r="H191" s="10"/>
      <x:c r="I191" s="10"/>
      <x:c r="J191" s="12"/>
      <x:c r="K191" s="10"/>
      <x:c r="L191" s="12"/>
      <x:c r="M191" s="11" t="str">
        <x:f>IF(A191="",IF(C191="","","Falta ID"),IF(COUNTIFS($A$11:$A$210,A191)&gt;1,"ID duplicado",IF(AND(OR(H191="Contratado",H191="Implementación",H191="Entregado"),NOT(ISNUMBER(N191))),"Completar cierre",IF(H191="Entregado",IF(NOT(ISNUMBER(O191)),"Completar cierre","Cerrado"),IF(H191="Descartado",IF(P191="","Completar cierre","Cerrado"),IF(OR(C191="",D191="",E191="",F191="",G191="",H191="",I191="",K191="",L191="",B191=""),"Completar gestión",IF(NOT(ISNUMBER(L191)),"Revisar fecha",IF(L191&lt;TODAY(),"Vencido",IF(L191=TODAY(),"Hoy","Programado")))))))))</x:f>
      </x:c>
      <x:c r="N191" s="12"/>
      <x:c r="O191" s="12"/>
      <x:c r="P191" s="10"/>
      <x:c r="Q191" s="10"/>
    </x:row>
    <x:row r="192" ht="28" customHeight="1">
      <x:c r="A192" s="13"/>
      <x:c r="B192" s="12"/>
      <x:c r="C192" s="10"/>
      <x:c r="D192" s="13"/>
      <x:c r="E192" s="10"/>
      <x:c r="F192" s="10"/>
      <x:c r="G192" s="10"/>
      <x:c r="H192" s="10"/>
      <x:c r="I192" s="10"/>
      <x:c r="J192" s="12"/>
      <x:c r="K192" s="10"/>
      <x:c r="L192" s="12"/>
      <x:c r="M192" s="11" t="str">
        <x:f>IF(A192="",IF(C192="","","Falta ID"),IF(COUNTIFS($A$11:$A$210,A192)&gt;1,"ID duplicado",IF(AND(OR(H192="Contratado",H192="Implementación",H192="Entregado"),NOT(ISNUMBER(N192))),"Completar cierre",IF(H192="Entregado",IF(NOT(ISNUMBER(O192)),"Completar cierre","Cerrado"),IF(H192="Descartado",IF(P192="","Completar cierre","Cerrado"),IF(OR(C192="",D192="",E192="",F192="",G192="",H192="",I192="",K192="",L192="",B192=""),"Completar gestión",IF(NOT(ISNUMBER(L192)),"Revisar fecha",IF(L192&lt;TODAY(),"Vencido",IF(L192=TODAY(),"Hoy","Programado")))))))))</x:f>
      </x:c>
      <x:c r="N192" s="12"/>
      <x:c r="O192" s="12"/>
      <x:c r="P192" s="10"/>
      <x:c r="Q192" s="10"/>
    </x:row>
    <x:row r="193" ht="28" customHeight="1">
      <x:c r="A193" s="13"/>
      <x:c r="B193" s="12"/>
      <x:c r="C193" s="10"/>
      <x:c r="D193" s="13"/>
      <x:c r="E193" s="10"/>
      <x:c r="F193" s="10"/>
      <x:c r="G193" s="10"/>
      <x:c r="H193" s="10"/>
      <x:c r="I193" s="10"/>
      <x:c r="J193" s="12"/>
      <x:c r="K193" s="10"/>
      <x:c r="L193" s="12"/>
      <x:c r="M193" s="11" t="str">
        <x:f>IF(A193="",IF(C193="","","Falta ID"),IF(COUNTIFS($A$11:$A$210,A193)&gt;1,"ID duplicado",IF(AND(OR(H193="Contratado",H193="Implementación",H193="Entregado"),NOT(ISNUMBER(N193))),"Completar cierre",IF(H193="Entregado",IF(NOT(ISNUMBER(O193)),"Completar cierre","Cerrado"),IF(H193="Descartado",IF(P193="","Completar cierre","Cerrado"),IF(OR(C193="",D193="",E193="",F193="",G193="",H193="",I193="",K193="",L193="",B193=""),"Completar gestión",IF(NOT(ISNUMBER(L193)),"Revisar fecha",IF(L193&lt;TODAY(),"Vencido",IF(L193=TODAY(),"Hoy","Programado")))))))))</x:f>
      </x:c>
      <x:c r="N193" s="12"/>
      <x:c r="O193" s="12"/>
      <x:c r="P193" s="10"/>
      <x:c r="Q193" s="10"/>
    </x:row>
    <x:row r="194" ht="28" customHeight="1">
      <x:c r="A194" s="13"/>
      <x:c r="B194" s="12"/>
      <x:c r="C194" s="10"/>
      <x:c r="D194" s="13"/>
      <x:c r="E194" s="10"/>
      <x:c r="F194" s="10"/>
      <x:c r="G194" s="10"/>
      <x:c r="H194" s="10"/>
      <x:c r="I194" s="10"/>
      <x:c r="J194" s="12"/>
      <x:c r="K194" s="10"/>
      <x:c r="L194" s="12"/>
      <x:c r="M194" s="11" t="str">
        <x:f>IF(A194="",IF(C194="","","Falta ID"),IF(COUNTIFS($A$11:$A$210,A194)&gt;1,"ID duplicado",IF(AND(OR(H194="Contratado",H194="Implementación",H194="Entregado"),NOT(ISNUMBER(N194))),"Completar cierre",IF(H194="Entregado",IF(NOT(ISNUMBER(O194)),"Completar cierre","Cerrado"),IF(H194="Descartado",IF(P194="","Completar cierre","Cerrado"),IF(OR(C194="",D194="",E194="",F194="",G194="",H194="",I194="",K194="",L194="",B194=""),"Completar gestión",IF(NOT(ISNUMBER(L194)),"Revisar fecha",IF(L194&lt;TODAY(),"Vencido",IF(L194=TODAY(),"Hoy","Programado")))))))))</x:f>
      </x:c>
      <x:c r="N194" s="12"/>
      <x:c r="O194" s="12"/>
      <x:c r="P194" s="10"/>
      <x:c r="Q194" s="10"/>
    </x:row>
    <x:row r="195" ht="28" customHeight="1">
      <x:c r="A195" s="13"/>
      <x:c r="B195" s="12"/>
      <x:c r="C195" s="10"/>
      <x:c r="D195" s="13"/>
      <x:c r="E195" s="10"/>
      <x:c r="F195" s="10"/>
      <x:c r="G195" s="10"/>
      <x:c r="H195" s="10"/>
      <x:c r="I195" s="10"/>
      <x:c r="J195" s="12"/>
      <x:c r="K195" s="10"/>
      <x:c r="L195" s="12"/>
      <x:c r="M195" s="11" t="str">
        <x:f>IF(A195="",IF(C195="","","Falta ID"),IF(COUNTIFS($A$11:$A$210,A195)&gt;1,"ID duplicado",IF(AND(OR(H195="Contratado",H195="Implementación",H195="Entregado"),NOT(ISNUMBER(N195))),"Completar cierre",IF(H195="Entregado",IF(NOT(ISNUMBER(O195)),"Completar cierre","Cerrado"),IF(H195="Descartado",IF(P195="","Completar cierre","Cerrado"),IF(OR(C195="",D195="",E195="",F195="",G195="",H195="",I195="",K195="",L195="",B195=""),"Completar gestión",IF(NOT(ISNUMBER(L195)),"Revisar fecha",IF(L195&lt;TODAY(),"Vencido",IF(L195=TODAY(),"Hoy","Programado")))))))))</x:f>
      </x:c>
      <x:c r="N195" s="12"/>
      <x:c r="O195" s="12"/>
      <x:c r="P195" s="10"/>
      <x:c r="Q195" s="10"/>
    </x:row>
    <x:row r="196" ht="28" customHeight="1">
      <x:c r="A196" s="13"/>
      <x:c r="B196" s="12"/>
      <x:c r="C196" s="10"/>
      <x:c r="D196" s="13"/>
      <x:c r="E196" s="10"/>
      <x:c r="F196" s="10"/>
      <x:c r="G196" s="10"/>
      <x:c r="H196" s="10"/>
      <x:c r="I196" s="10"/>
      <x:c r="J196" s="12"/>
      <x:c r="K196" s="10"/>
      <x:c r="L196" s="12"/>
      <x:c r="M196" s="11" t="str">
        <x:f>IF(A196="",IF(C196="","","Falta ID"),IF(COUNTIFS($A$11:$A$210,A196)&gt;1,"ID duplicado",IF(AND(OR(H196="Contratado",H196="Implementación",H196="Entregado"),NOT(ISNUMBER(N196))),"Completar cierre",IF(H196="Entregado",IF(NOT(ISNUMBER(O196)),"Completar cierre","Cerrado"),IF(H196="Descartado",IF(P196="","Completar cierre","Cerrado"),IF(OR(C196="",D196="",E196="",F196="",G196="",H196="",I196="",K196="",L196="",B196=""),"Completar gestión",IF(NOT(ISNUMBER(L196)),"Revisar fecha",IF(L196&lt;TODAY(),"Vencido",IF(L196=TODAY(),"Hoy","Programado")))))))))</x:f>
      </x:c>
      <x:c r="N196" s="12"/>
      <x:c r="O196" s="12"/>
      <x:c r="P196" s="10"/>
      <x:c r="Q196" s="10"/>
    </x:row>
    <x:row r="197" ht="28" customHeight="1">
      <x:c r="A197" s="13"/>
      <x:c r="B197" s="12"/>
      <x:c r="C197" s="10"/>
      <x:c r="D197" s="13"/>
      <x:c r="E197" s="10"/>
      <x:c r="F197" s="10"/>
      <x:c r="G197" s="10"/>
      <x:c r="H197" s="10"/>
      <x:c r="I197" s="10"/>
      <x:c r="J197" s="12"/>
      <x:c r="K197" s="10"/>
      <x:c r="L197" s="12"/>
      <x:c r="M197" s="11" t="str">
        <x:f>IF(A197="",IF(C197="","","Falta ID"),IF(COUNTIFS($A$11:$A$210,A197)&gt;1,"ID duplicado",IF(AND(OR(H197="Contratado",H197="Implementación",H197="Entregado"),NOT(ISNUMBER(N197))),"Completar cierre",IF(H197="Entregado",IF(NOT(ISNUMBER(O197)),"Completar cierre","Cerrado"),IF(H197="Descartado",IF(P197="","Completar cierre","Cerrado"),IF(OR(C197="",D197="",E197="",F197="",G197="",H197="",I197="",K197="",L197="",B197=""),"Completar gestión",IF(NOT(ISNUMBER(L197)),"Revisar fecha",IF(L197&lt;TODAY(),"Vencido",IF(L197=TODAY(),"Hoy","Programado")))))))))</x:f>
      </x:c>
      <x:c r="N197" s="12"/>
      <x:c r="O197" s="12"/>
      <x:c r="P197" s="10"/>
      <x:c r="Q197" s="10"/>
    </x:row>
    <x:row r="198" ht="28" customHeight="1">
      <x:c r="A198" s="13"/>
      <x:c r="B198" s="12"/>
      <x:c r="C198" s="10"/>
      <x:c r="D198" s="13"/>
      <x:c r="E198" s="10"/>
      <x:c r="F198" s="10"/>
      <x:c r="G198" s="10"/>
      <x:c r="H198" s="10"/>
      <x:c r="I198" s="10"/>
      <x:c r="J198" s="12"/>
      <x:c r="K198" s="10"/>
      <x:c r="L198" s="12"/>
      <x:c r="M198" s="11" t="str">
        <x:f>IF(A198="",IF(C198="","","Falta ID"),IF(COUNTIFS($A$11:$A$210,A198)&gt;1,"ID duplicado",IF(AND(OR(H198="Contratado",H198="Implementación",H198="Entregado"),NOT(ISNUMBER(N198))),"Completar cierre",IF(H198="Entregado",IF(NOT(ISNUMBER(O198)),"Completar cierre","Cerrado"),IF(H198="Descartado",IF(P198="","Completar cierre","Cerrado"),IF(OR(C198="",D198="",E198="",F198="",G198="",H198="",I198="",K198="",L198="",B198=""),"Completar gestión",IF(NOT(ISNUMBER(L198)),"Revisar fecha",IF(L198&lt;TODAY(),"Vencido",IF(L198=TODAY(),"Hoy","Programado")))))))))</x:f>
      </x:c>
      <x:c r="N198" s="12"/>
      <x:c r="O198" s="12"/>
      <x:c r="P198" s="10"/>
      <x:c r="Q198" s="10"/>
    </x:row>
    <x:row r="199" ht="28" customHeight="1">
      <x:c r="A199" s="13"/>
      <x:c r="B199" s="12"/>
      <x:c r="C199" s="10"/>
      <x:c r="D199" s="13"/>
      <x:c r="E199" s="10"/>
      <x:c r="F199" s="10"/>
      <x:c r="G199" s="10"/>
      <x:c r="H199" s="10"/>
      <x:c r="I199" s="10"/>
      <x:c r="J199" s="12"/>
      <x:c r="K199" s="10"/>
      <x:c r="L199" s="12"/>
      <x:c r="M199" s="11" t="str">
        <x:f>IF(A199="",IF(C199="","","Falta ID"),IF(COUNTIFS($A$11:$A$210,A199)&gt;1,"ID duplicado",IF(AND(OR(H199="Contratado",H199="Implementación",H199="Entregado"),NOT(ISNUMBER(N199))),"Completar cierre",IF(H199="Entregado",IF(NOT(ISNUMBER(O199)),"Completar cierre","Cerrado"),IF(H199="Descartado",IF(P199="","Completar cierre","Cerrado"),IF(OR(C199="",D199="",E199="",F199="",G199="",H199="",I199="",K199="",L199="",B199=""),"Completar gestión",IF(NOT(ISNUMBER(L199)),"Revisar fecha",IF(L199&lt;TODAY(),"Vencido",IF(L199=TODAY(),"Hoy","Programado")))))))))</x:f>
      </x:c>
      <x:c r="N199" s="12"/>
      <x:c r="O199" s="12"/>
      <x:c r="P199" s="10"/>
      <x:c r="Q199" s="10"/>
    </x:row>
    <x:row r="200" ht="28" customHeight="1">
      <x:c r="A200" s="13"/>
      <x:c r="B200" s="12"/>
      <x:c r="C200" s="10"/>
      <x:c r="D200" s="13"/>
      <x:c r="E200" s="10"/>
      <x:c r="F200" s="10"/>
      <x:c r="G200" s="10"/>
      <x:c r="H200" s="10"/>
      <x:c r="I200" s="10"/>
      <x:c r="J200" s="12"/>
      <x:c r="K200" s="10"/>
      <x:c r="L200" s="12"/>
      <x:c r="M200" s="11" t="str">
        <x:f>IF(A200="",IF(C200="","","Falta ID"),IF(COUNTIFS($A$11:$A$210,A200)&gt;1,"ID duplicado",IF(AND(OR(H200="Contratado",H200="Implementación",H200="Entregado"),NOT(ISNUMBER(N200))),"Completar cierre",IF(H200="Entregado",IF(NOT(ISNUMBER(O200)),"Completar cierre","Cerrado"),IF(H200="Descartado",IF(P200="","Completar cierre","Cerrado"),IF(OR(C200="",D200="",E200="",F200="",G200="",H200="",I200="",K200="",L200="",B200=""),"Completar gestión",IF(NOT(ISNUMBER(L200)),"Revisar fecha",IF(L200&lt;TODAY(),"Vencido",IF(L200=TODAY(),"Hoy","Programado")))))))))</x:f>
      </x:c>
      <x:c r="N200" s="12"/>
      <x:c r="O200" s="12"/>
      <x:c r="P200" s="10"/>
      <x:c r="Q200" s="10"/>
    </x:row>
    <x:row r="201" ht="28" customHeight="1">
      <x:c r="A201" s="13"/>
      <x:c r="B201" s="12"/>
      <x:c r="C201" s="10"/>
      <x:c r="D201" s="13"/>
      <x:c r="E201" s="10"/>
      <x:c r="F201" s="10"/>
      <x:c r="G201" s="10"/>
      <x:c r="H201" s="10"/>
      <x:c r="I201" s="10"/>
      <x:c r="J201" s="12"/>
      <x:c r="K201" s="10"/>
      <x:c r="L201" s="12"/>
      <x:c r="M201" s="11" t="str">
        <x:f>IF(A201="",IF(C201="","","Falta ID"),IF(COUNTIFS($A$11:$A$210,A201)&gt;1,"ID duplicado",IF(AND(OR(H201="Contratado",H201="Implementación",H201="Entregado"),NOT(ISNUMBER(N201))),"Completar cierre",IF(H201="Entregado",IF(NOT(ISNUMBER(O201)),"Completar cierre","Cerrado"),IF(H201="Descartado",IF(P201="","Completar cierre","Cerrado"),IF(OR(C201="",D201="",E201="",F201="",G201="",H201="",I201="",K201="",L201="",B201=""),"Completar gestión",IF(NOT(ISNUMBER(L201)),"Revisar fecha",IF(L201&lt;TODAY(),"Vencido",IF(L201=TODAY(),"Hoy","Programado")))))))))</x:f>
      </x:c>
      <x:c r="N201" s="12"/>
      <x:c r="O201" s="12"/>
      <x:c r="P201" s="10"/>
      <x:c r="Q201" s="10"/>
    </x:row>
    <x:row r="202" ht="28" customHeight="1">
      <x:c r="A202" s="13"/>
      <x:c r="B202" s="12"/>
      <x:c r="C202" s="10"/>
      <x:c r="D202" s="13"/>
      <x:c r="E202" s="10"/>
      <x:c r="F202" s="10"/>
      <x:c r="G202" s="10"/>
      <x:c r="H202" s="10"/>
      <x:c r="I202" s="10"/>
      <x:c r="J202" s="12"/>
      <x:c r="K202" s="10"/>
      <x:c r="L202" s="12"/>
      <x:c r="M202" s="11" t="str">
        <x:f>IF(A202="",IF(C202="","","Falta ID"),IF(COUNTIFS($A$11:$A$210,A202)&gt;1,"ID duplicado",IF(AND(OR(H202="Contratado",H202="Implementación",H202="Entregado"),NOT(ISNUMBER(N202))),"Completar cierre",IF(H202="Entregado",IF(NOT(ISNUMBER(O202)),"Completar cierre","Cerrado"),IF(H202="Descartado",IF(P202="","Completar cierre","Cerrado"),IF(OR(C202="",D202="",E202="",F202="",G202="",H202="",I202="",K202="",L202="",B202=""),"Completar gestión",IF(NOT(ISNUMBER(L202)),"Revisar fecha",IF(L202&lt;TODAY(),"Vencido",IF(L202=TODAY(),"Hoy","Programado")))))))))</x:f>
      </x:c>
      <x:c r="N202" s="12"/>
      <x:c r="O202" s="12"/>
      <x:c r="P202" s="10"/>
      <x:c r="Q202" s="10"/>
    </x:row>
    <x:row r="203" ht="28" customHeight="1">
      <x:c r="A203" s="13"/>
      <x:c r="B203" s="12"/>
      <x:c r="C203" s="10"/>
      <x:c r="D203" s="13"/>
      <x:c r="E203" s="10"/>
      <x:c r="F203" s="10"/>
      <x:c r="G203" s="10"/>
      <x:c r="H203" s="10"/>
      <x:c r="I203" s="10"/>
      <x:c r="J203" s="12"/>
      <x:c r="K203" s="10"/>
      <x:c r="L203" s="12"/>
      <x:c r="M203" s="11" t="str">
        <x:f>IF(A203="",IF(C203="","","Falta ID"),IF(COUNTIFS($A$11:$A$210,A203)&gt;1,"ID duplicado",IF(AND(OR(H203="Contratado",H203="Implementación",H203="Entregado"),NOT(ISNUMBER(N203))),"Completar cierre",IF(H203="Entregado",IF(NOT(ISNUMBER(O203)),"Completar cierre","Cerrado"),IF(H203="Descartado",IF(P203="","Completar cierre","Cerrado"),IF(OR(C203="",D203="",E203="",F203="",G203="",H203="",I203="",K203="",L203="",B203=""),"Completar gestión",IF(NOT(ISNUMBER(L203)),"Revisar fecha",IF(L203&lt;TODAY(),"Vencido",IF(L203=TODAY(),"Hoy","Programado")))))))))</x:f>
      </x:c>
      <x:c r="N203" s="12"/>
      <x:c r="O203" s="12"/>
      <x:c r="P203" s="10"/>
      <x:c r="Q203" s="10"/>
    </x:row>
    <x:row r="204" ht="28" customHeight="1">
      <x:c r="A204" s="13"/>
      <x:c r="B204" s="12"/>
      <x:c r="C204" s="10"/>
      <x:c r="D204" s="13"/>
      <x:c r="E204" s="10"/>
      <x:c r="F204" s="10"/>
      <x:c r="G204" s="10"/>
      <x:c r="H204" s="10"/>
      <x:c r="I204" s="10"/>
      <x:c r="J204" s="12"/>
      <x:c r="K204" s="10"/>
      <x:c r="L204" s="12"/>
      <x:c r="M204" s="11" t="str">
        <x:f>IF(A204="",IF(C204="","","Falta ID"),IF(COUNTIFS($A$11:$A$210,A204)&gt;1,"ID duplicado",IF(AND(OR(H204="Contratado",H204="Implementación",H204="Entregado"),NOT(ISNUMBER(N204))),"Completar cierre",IF(H204="Entregado",IF(NOT(ISNUMBER(O204)),"Completar cierre","Cerrado"),IF(H204="Descartado",IF(P204="","Completar cierre","Cerrado"),IF(OR(C204="",D204="",E204="",F204="",G204="",H204="",I204="",K204="",L204="",B204=""),"Completar gestión",IF(NOT(ISNUMBER(L204)),"Revisar fecha",IF(L204&lt;TODAY(),"Vencido",IF(L204=TODAY(),"Hoy","Programado")))))))))</x:f>
      </x:c>
      <x:c r="N204" s="12"/>
      <x:c r="O204" s="12"/>
      <x:c r="P204" s="10"/>
      <x:c r="Q204" s="10"/>
    </x:row>
    <x:row r="205" ht="28" customHeight="1">
      <x:c r="A205" s="13"/>
      <x:c r="B205" s="12"/>
      <x:c r="C205" s="10"/>
      <x:c r="D205" s="13"/>
      <x:c r="E205" s="10"/>
      <x:c r="F205" s="10"/>
      <x:c r="G205" s="10"/>
      <x:c r="H205" s="10"/>
      <x:c r="I205" s="10"/>
      <x:c r="J205" s="12"/>
      <x:c r="K205" s="10"/>
      <x:c r="L205" s="12"/>
      <x:c r="M205" s="11" t="str">
        <x:f>IF(A205="",IF(C205="","","Falta ID"),IF(COUNTIFS($A$11:$A$210,A205)&gt;1,"ID duplicado",IF(AND(OR(H205="Contratado",H205="Implementación",H205="Entregado"),NOT(ISNUMBER(N205))),"Completar cierre",IF(H205="Entregado",IF(NOT(ISNUMBER(O205)),"Completar cierre","Cerrado"),IF(H205="Descartado",IF(P205="","Completar cierre","Cerrado"),IF(OR(C205="",D205="",E205="",F205="",G205="",H205="",I205="",K205="",L205="",B205=""),"Completar gestión",IF(NOT(ISNUMBER(L205)),"Revisar fecha",IF(L205&lt;TODAY(),"Vencido",IF(L205=TODAY(),"Hoy","Programado")))))))))</x:f>
      </x:c>
      <x:c r="N205" s="12"/>
      <x:c r="O205" s="12"/>
      <x:c r="P205" s="10"/>
      <x:c r="Q205" s="10"/>
    </x:row>
    <x:row r="206" ht="28" customHeight="1">
      <x:c r="A206" s="13"/>
      <x:c r="B206" s="12"/>
      <x:c r="C206" s="10"/>
      <x:c r="D206" s="13"/>
      <x:c r="E206" s="10"/>
      <x:c r="F206" s="10"/>
      <x:c r="G206" s="10"/>
      <x:c r="H206" s="10"/>
      <x:c r="I206" s="10"/>
      <x:c r="J206" s="12"/>
      <x:c r="K206" s="10"/>
      <x:c r="L206" s="12"/>
      <x:c r="M206" s="11" t="str">
        <x:f>IF(A206="",IF(C206="","","Falta ID"),IF(COUNTIFS($A$11:$A$210,A206)&gt;1,"ID duplicado",IF(AND(OR(H206="Contratado",H206="Implementación",H206="Entregado"),NOT(ISNUMBER(N206))),"Completar cierre",IF(H206="Entregado",IF(NOT(ISNUMBER(O206)),"Completar cierre","Cerrado"),IF(H206="Descartado",IF(P206="","Completar cierre","Cerrado"),IF(OR(C206="",D206="",E206="",F206="",G206="",H206="",I206="",K206="",L206="",B206=""),"Completar gestión",IF(NOT(ISNUMBER(L206)),"Revisar fecha",IF(L206&lt;TODAY(),"Vencido",IF(L206=TODAY(),"Hoy","Programado")))))))))</x:f>
      </x:c>
      <x:c r="N206" s="12"/>
      <x:c r="O206" s="12"/>
      <x:c r="P206" s="10"/>
      <x:c r="Q206" s="10"/>
    </x:row>
    <x:row r="207" ht="28" customHeight="1">
      <x:c r="A207" s="13"/>
      <x:c r="B207" s="12"/>
      <x:c r="C207" s="10"/>
      <x:c r="D207" s="13"/>
      <x:c r="E207" s="10"/>
      <x:c r="F207" s="10"/>
      <x:c r="G207" s="10"/>
      <x:c r="H207" s="10"/>
      <x:c r="I207" s="10"/>
      <x:c r="J207" s="12"/>
      <x:c r="K207" s="10"/>
      <x:c r="L207" s="12"/>
      <x:c r="M207" s="11" t="str">
        <x:f>IF(A207="",IF(C207="","","Falta ID"),IF(COUNTIFS($A$11:$A$210,A207)&gt;1,"ID duplicado",IF(AND(OR(H207="Contratado",H207="Implementación",H207="Entregado"),NOT(ISNUMBER(N207))),"Completar cierre",IF(H207="Entregado",IF(NOT(ISNUMBER(O207)),"Completar cierre","Cerrado"),IF(H207="Descartado",IF(P207="","Completar cierre","Cerrado"),IF(OR(C207="",D207="",E207="",F207="",G207="",H207="",I207="",K207="",L207="",B207=""),"Completar gestión",IF(NOT(ISNUMBER(L207)),"Revisar fecha",IF(L207&lt;TODAY(),"Vencido",IF(L207=TODAY(),"Hoy","Programado")))))))))</x:f>
      </x:c>
      <x:c r="N207" s="12"/>
      <x:c r="O207" s="12"/>
      <x:c r="P207" s="10"/>
      <x:c r="Q207" s="10"/>
    </x:row>
    <x:row r="208" ht="28" customHeight="1">
      <x:c r="A208" s="13"/>
      <x:c r="B208" s="12"/>
      <x:c r="C208" s="10"/>
      <x:c r="D208" s="13"/>
      <x:c r="E208" s="10"/>
      <x:c r="F208" s="10"/>
      <x:c r="G208" s="10"/>
      <x:c r="H208" s="10"/>
      <x:c r="I208" s="10"/>
      <x:c r="J208" s="12"/>
      <x:c r="K208" s="10"/>
      <x:c r="L208" s="12"/>
      <x:c r="M208" s="11" t="str">
        <x:f>IF(A208="",IF(C208="","","Falta ID"),IF(COUNTIFS($A$11:$A$210,A208)&gt;1,"ID duplicado",IF(AND(OR(H208="Contratado",H208="Implementación",H208="Entregado"),NOT(ISNUMBER(N208))),"Completar cierre",IF(H208="Entregado",IF(NOT(ISNUMBER(O208)),"Completar cierre","Cerrado"),IF(H208="Descartado",IF(P208="","Completar cierre","Cerrado"),IF(OR(C208="",D208="",E208="",F208="",G208="",H208="",I208="",K208="",L208="",B208=""),"Completar gestión",IF(NOT(ISNUMBER(L208)),"Revisar fecha",IF(L208&lt;TODAY(),"Vencido",IF(L208=TODAY(),"Hoy","Programado")))))))))</x:f>
      </x:c>
      <x:c r="N208" s="12"/>
      <x:c r="O208" s="12"/>
      <x:c r="P208" s="10"/>
      <x:c r="Q208" s="10"/>
    </x:row>
    <x:row r="209" ht="28" customHeight="1">
      <x:c r="A209" s="13"/>
      <x:c r="B209" s="12"/>
      <x:c r="C209" s="10"/>
      <x:c r="D209" s="13"/>
      <x:c r="E209" s="10"/>
      <x:c r="F209" s="10"/>
      <x:c r="G209" s="10"/>
      <x:c r="H209" s="10"/>
      <x:c r="I209" s="10"/>
      <x:c r="J209" s="12"/>
      <x:c r="K209" s="10"/>
      <x:c r="L209" s="12"/>
      <x:c r="M209" s="11" t="str">
        <x:f>IF(A209="",IF(C209="","","Falta ID"),IF(COUNTIFS($A$11:$A$210,A209)&gt;1,"ID duplicado",IF(AND(OR(H209="Contratado",H209="Implementación",H209="Entregado"),NOT(ISNUMBER(N209))),"Completar cierre",IF(H209="Entregado",IF(NOT(ISNUMBER(O209)),"Completar cierre","Cerrado"),IF(H209="Descartado",IF(P209="","Completar cierre","Cerrado"),IF(OR(C209="",D209="",E209="",F209="",G209="",H209="",I209="",K209="",L209="",B209=""),"Completar gestión",IF(NOT(ISNUMBER(L209)),"Revisar fecha",IF(L209&lt;TODAY(),"Vencido",IF(L209=TODAY(),"Hoy","Programado")))))))))</x:f>
      </x:c>
      <x:c r="N209" s="12"/>
      <x:c r="O209" s="12"/>
      <x:c r="P209" s="10"/>
      <x:c r="Q209" s="10"/>
    </x:row>
    <x:row r="210" ht="28" customHeight="1">
      <x:c r="A210" s="13"/>
      <x:c r="B210" s="12"/>
      <x:c r="C210" s="10"/>
      <x:c r="D210" s="13"/>
      <x:c r="E210" s="10"/>
      <x:c r="F210" s="10"/>
      <x:c r="G210" s="10"/>
      <x:c r="H210" s="10"/>
      <x:c r="I210" s="10"/>
      <x:c r="J210" s="12"/>
      <x:c r="K210" s="10"/>
      <x:c r="L210" s="12"/>
      <x:c r="M210" s="11" t="str">
        <x:f>IF(A210="",IF(C210="","","Falta ID"),IF(COUNTIFS($A$11:$A$210,A210)&gt;1,"ID duplicado",IF(AND(OR(H210="Contratado",H210="Implementación",H210="Entregado"),NOT(ISNUMBER(N210))),"Completar cierre",IF(H210="Entregado",IF(NOT(ISNUMBER(O210)),"Completar cierre","Cerrado"),IF(H210="Descartado",IF(P210="","Completar cierre","Cerrado"),IF(OR(C210="",D210="",E210="",F210="",G210="",H210="",I210="",K210="",L210="",B210=""),"Completar gestión",IF(NOT(ISNUMBER(L210)),"Revisar fecha",IF(L210&lt;TODAY(),"Vencido",IF(L210=TODAY(),"Hoy","Programado")))))))))</x:f>
      </x:c>
      <x:c r="N210" s="12"/>
      <x:c r="O210" s="12"/>
      <x:c r="P210" s="10"/>
      <x:c r="Q210" s="10"/>
    </x:row>
  </x:sheetData>
  <x:conditionalFormatting sqref="M11:M210">
    <x:cfRule type="containsText" dxfId="0" priority="1" operator="containsText" text="Vencido"/>
    <x:cfRule type="containsText" dxfId="1" priority="2" operator="containsText" text="Completar"/>
    <x:cfRule type="containsText" dxfId="2" priority="3" operator="containsText" text="Falta ID"/>
    <x:cfRule type="containsText" dxfId="3" priority="4" operator="containsText" text="ID duplicado"/>
    <x:cfRule type="containsText" dxfId="4" priority="5" operator="containsText" text="Revisar fecha"/>
    <x:cfRule type="containsText" dxfId="5" priority="6" operator="containsText" text="Hoy"/>
  </x:conditionalFormatting>
  <x:dataValidations count="5">
    <x:dataValidation type="list" sqref="H11:H210">
      <x:formula1>"Nuevo,Calificado,Demo realizada,Levantamiento,Propuesta enviada,Negociación,Contratado,Implementación,Entregado,Descartado"</x:formula1>
    </x:dataValidation>
    <x:dataValidation type="list" sqref="I11:I210">
      <x:formula1>"Javier,Camilo"</x:formula1>
    </x:dataValidation>
    <x:dataValidation type="list" sqref="E11:E210">
      <x:formula1>"WhatsApp,Correo,Referido,Otro"</x:formula1>
    </x:dataValidation>
    <x:dataValidation type="list" sqref="F11:F210">
      <x:formula1>"Web ARGUS,Google orgánico,Referido,Prospección propia,Red social,Desconocido,Otro"</x:formula1>
    </x:dataValidation>
    <x:dataValidation type="list" sqref="G11:G210">
      <x:formula1>"ATLAS,ATLAS + web,Automatización,Por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0ead943404a3a"/>
  </x:tableParts>
</x:worksheet>
</file>

<file path=xl/worksheets/sheet2.xml><?xml version="1.0" encoding="utf-8"?>
<x:worksheet xmlns:x="http://schemas.openxmlformats.org/spreadsheetml/2006/main">
  <x:sheetPr>
    <x:tabColor rgb="FFA2B8AA"/>
  </x:sheetPr>
  <x:sheetViews>
    <x:sheetView showGridLines="0" workbookViewId="0"/>
  </x:sheetViews>
  <x:sheetFormatPr defaultRowHeight="15"/>
  <x:cols>
    <x:col min="1" max="1" width="25" hidden="0" customWidth="1"/>
    <x:col min="2" max="2" width="64" hidden="0" customWidth="1"/>
    <x:col min="3" max="3" width="51" hidden="0" customWidth="1"/>
    <x:col min="4" max="4" width="51" hidden="0" customWidth="1"/>
  </x:cols>
  <x:sheetData>
    <x:row r="1">
      <x:c r="A1" s="2"/>
      <x:c r="B1" s="2"/>
      <x:c r="C1" s="2"/>
      <x:c r="D1" s="2"/>
    </x:row>
    <x:row r="2">
      <x:c r="A2" s="3" t="str">
        <x:v>Uso del registro comercial</x:v>
      </x:c>
      <x:c r="B2" s="2"/>
      <x:c r="C2" s="2"/>
      <x:c r="D2" s="2"/>
    </x:row>
    <x:row r="3">
      <x:c r="A3" s="2"/>
      <x:c r="B3" s="2"/>
      <x:c r="C3" s="2"/>
      <x:c r="D3" s="2"/>
    </x:row>
    <x:row r="4" ht="30" customHeight="1">
      <x:c r="A4" s="8" t="str">
        <x:v>Etapa</x:v>
      </x:c>
      <x:c r="B4" s="8" t="str">
        <x:v>Cuándo usarla</x:v>
      </x:c>
      <x:c r="C4" s="8" t="str">
        <x:v>Requisito para avanzar</x:v>
      </x:c>
      <x:c r="D4" s="8" t="str">
        <x:v>Próxima acción sugerida</x:v>
      </x:c>
    </x:row>
    <x:row r="5" ht="48" customHeight="1">
      <x:c r="A5" s="16" t="str">
        <x:v>Nuevo</x:v>
      </x:c>
      <x:c r="B5" s="16" t="str">
        <x:v>Consulta real recibida</x:v>
      </x:c>
      <x:c r="C5" s="16" t="str">
        <x:v>Datos mínimos y responsable asignado</x:v>
      </x:c>
      <x:c r="D5" s="16" t="str">
        <x:v>Responder y coordinar demo</x:v>
      </x:c>
    </x:row>
    <x:row r="6" ht="48" customHeight="1">
      <x:c r="A6" s="16" t="str">
        <x:v>Calificado</x:v>
      </x:c>
      <x:c r="B6" s="16" t="str">
        <x:v>Necesidad y encaje confirmados</x:v>
      </x:c>
      <x:c r="C6" s="16" t="str">
        <x:v>Interés real en evaluar y canal de contacto</x:v>
      </x:c>
      <x:c r="D6" s="16" t="str">
        <x:v>Confirmar demo</x:v>
      </x:c>
    </x:row>
    <x:row r="7" ht="48" customHeight="1">
      <x:c r="A7" s="16" t="str">
        <x:v>Demo realizada</x:v>
      </x:c>
      <x:c r="B7" s="16" t="str">
        <x:v>Demostración efectivamente realizada</x:v>
      </x:c>
      <x:c r="C7" s="16" t="str">
        <x:v>Interés en continuar y responsable del cliente</x:v>
      </x:c>
      <x:c r="D7" s="16" t="str">
        <x:v>Agendar levantamiento</x:v>
      </x:c>
    </x:row>
    <x:row r="8" ht="48" customHeight="1">
      <x:c r="A8" s="16" t="str">
        <x:v>Levantamiento</x:v>
      </x:c>
      <x:c r="B8" s="16" t="str">
        <x:v>Recopilación de requisitos</x:v>
      </x:c>
      <x:c r="C8" s="16" t="str">
        <x:v>Alcance, calendario propio, volumen y datos mínimos</x:v>
      </x:c>
      <x:c r="D8" s="16" t="str">
        <x:v>Preparar propuesta</x:v>
      </x:c>
    </x:row>
    <x:row r="9" ht="48" customHeight="1">
      <x:c r="A9" s="16" t="str">
        <x:v>Propuesta enviada</x:v>
      </x:c>
      <x:c r="B9" s="16" t="str">
        <x:v>Documento con versión y fecha enviado</x:v>
      </x:c>
      <x:c r="C9" s="16" t="str">
        <x:v>Alcance, valores, condiciones y fecha de revisión</x:v>
      </x:c>
      <x:c r="D9" s="16" t="str">
        <x:v>Confirmar recepción y revisión</x:v>
      </x:c>
    </x:row>
    <x:row r="10" ht="48" customHeight="1">
      <x:c r="A10" s="16" t="str">
        <x:v>Negociación</x:v>
      </x:c>
      <x:c r="B10" s="16" t="str">
        <x:v>Propuesta en revisión con el interesado</x:v>
      </x:c>
      <x:c r="C10" s="16" t="str">
        <x:v>Cambios acordados y propuesta final</x:v>
      </x:c>
      <x:c r="D10" s="16" t="str">
        <x:v>Resolver dudas y cerrar acuerdo</x:v>
      </x:c>
    </x:row>
    <x:row r="11" ht="48" customHeight="1">
      <x:c r="A11" s="16" t="str">
        <x:v>Contratado</x:v>
      </x:c>
      <x:c r="B11" s="16" t="str">
        <x:v>Contrato firmado por ambas partes</x:v>
      </x:c>
      <x:c r="C11" s="16" t="str">
        <x:v>Anticipo y antecedentes para iniciar comprobados</x:v>
      </x:c>
      <x:c r="D11" s="16" t="str">
        <x:v>Coordinar inicio de implementación</x:v>
      </x:c>
    </x:row>
    <x:row r="12" ht="48" customHeight="1">
      <x:c r="A12" s="16" t="str">
        <x:v>Implementación</x:v>
      </x:c>
      <x:c r="B12" s="16" t="str">
        <x:v>Trabajo iniciado con requisitos disponibles</x:v>
      </x:c>
      <x:c r="C12" s="16" t="str">
        <x:v>Pruebas, aceptación y saldo según contrato</x:v>
      </x:c>
      <x:c r="D12" s="16" t="str">
        <x:v>Programar entrega</x:v>
      </x:c>
    </x:row>
    <x:row r="13" ht="48" customHeight="1">
      <x:c r="A13" s="16" t="str">
        <x:v>Entregado</x:v>
      </x:c>
      <x:c r="B13" s="16" t="str">
        <x:v>Entrega aceptada y puesta en servicio autorizada</x:v>
      </x:c>
      <x:c r="C13" s="16" t="str">
        <x:v>Fechas de contrato y entrega registradas</x:v>
      </x:c>
      <x:c r="D13" s="16" t="str">
        <x:v>Traspasar a soporte y seguimiento del cliente</x:v>
      </x:c>
    </x:row>
    <x:row r="14" ht="48" customHeight="1">
      <x:c r="A14" s="16" t="str">
        <x:v>Descartado</x:v>
      </x:c>
      <x:c r="B14" s="16" t="str">
        <x:v>No continuará esta oportunidad</x:v>
      </x:c>
      <x:c r="C14" s="16" t="str">
        <x:v>Motivo registrado</x:v>
      </x:c>
      <x:c r="D14" s="16" t="str">
        <x:v>Cerrar sin nuevos seguimientos no acordados</x:v>
      </x:c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 ht="28" customHeight="1">
      <x:c r="A17" s="15" t="str">
        <x:v>Regla</x:v>
      </x:c>
      <x:c r="B17" s="15" t="str">
        <x:v>Aplicación</x:v>
      </x:c>
      <x:c r="C17" s="2"/>
      <x:c r="D17" s="2"/>
    </x:row>
    <x:row r="18" ht="40" customHeight="1">
      <x:c r="A18" s="16" t="str">
        <x:v>Empezar</x:v>
      </x:c>
      <x:c r="B18" s="16" t="str">
        <x:v>Asignar ARG-0001 a la primera oportunidad real. No hay clientes de ejemplo.</x:v>
      </x:c>
      <x:c r="C18" s="2"/>
      <x:c r="D18" s="2"/>
    </x:row>
    <x:row r="19" ht="40" customHeight="1">
      <x:c r="A19" s="16" t="str">
        <x:v>Duplicados</x:v>
      </x:c>
      <x:c r="B19" s="16" t="str">
        <x:v>Revisar empresa y contacto. Una oportunidad por servicio o alcance independiente.</x:v>
      </x:c>
      <x:c r="C19" s="2"/>
      <x:c r="D19" s="2"/>
    </x:row>
    <x:row r="20" ht="40" customHeight="1">
      <x:c r="A20" s="16" t="str">
        <x:v>Fechas</x:v>
      </x:c>
      <x:c r="B20" s="16" t="str">
        <x:v>Ingresar fechas reales. La alerta usa TODAY() y la fecha del equipo al abrir.</x:v>
      </x:c>
      <x:c r="C20" s="2"/>
      <x:c r="D20" s="2"/>
    </x:row>
    <x:row r="21" ht="40" customHeight="1">
      <x:c r="A21" s="16" t="str">
        <x:v>Seguimiento</x:v>
      </x:c>
      <x:c r="B21" s="16" t="str">
        <x:v>Toda oportunidad activa debe tener una próxima acción y fecha.</x:v>
      </x:c>
      <x:c r="C21" s="2"/>
      <x:c r="D21" s="2"/>
    </x:row>
    <x:row r="22" ht="40" customHeight="1">
      <x:c r="A22" s="16" t="str">
        <x:v>Responsables</x:v>
      </x:c>
      <x:c r="B22" s="16" t="str">
        <x:v>Asignar Javier o Camilo por acuerdo. El otro queda como respaldo operativo.</x:v>
      </x:c>
      <x:c r="C22" s="2"/>
      <x:c r="D22" s="2"/>
    </x:row>
    <x:row r="23" ht="40" customHeight="1">
      <x:c r="A23" s="16" t="str">
        <x:v>Datos</x:v>
      </x:c>
      <x:c r="B23" s="16" t="str">
        <x:v>Solo información comercial mínima. No copiar chats, diagnósticos ni RUT de pacientes.</x:v>
      </x:c>
      <x:c r="C23" s="2"/>
      <x:c r="D23" s="2"/>
    </x:row>
    <x:row r="24" ht="40" customHeight="1">
      <x:c r="A24" s="16" t="str">
        <x:v>Archivo compartido</x:v>
      </x:c>
      <x:c r="B24" s="16" t="str">
        <x:v>Trabajar sobre una sola copia privada con acceso para ambos socios.</x:v>
      </x:c>
      <x:c r="C24" s="2"/>
      <x:c r="D24" s="2"/>
    </x:row>
    <x:row r="25" ht="40" customHeight="1">
      <x:c r="A25" s="16" t="str">
        <x:v>Límite</x:v>
      </x:c>
      <x:c r="B25" s="16" t="str">
        <x:v>200 filas preparadas. Al ampliar, extender fórmulas, listas, tabla y conteos.</x:v>
      </x:c>
      <x:c r="C25" s="2"/>
      <x:c r="D25" s="2"/>
    </x:row>
    <x:row r="26" ht="40" customHeight="1">
      <x:c r="A26" s="16" t="str">
        <x:v>Alarmas</x:v>
      </x:c>
      <x:c r="B26" s="16" t="str">
        <x:v>Son visuales al abrir la planilla. No se envían recordatorios automáticos.</x:v>
      </x:c>
      <x:c r="C26" s="2"/>
      <x:c r="D26" s="2"/>
    </x:row>
    <x:row r="27" ht="40" customHeight="1">
      <x:c r="A27" s="16" t="str">
        <x:v>Origen</x:v>
      </x:c>
      <x:c r="B27" s="16" t="str">
        <x:v>Preguntar cómo conoció ARGUS. Usar Desconocido si no se sabe.</x:v>
      </x:c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 ht="28" customHeight="1">
      <x:c r="A30" s="15" t="str">
        <x:v>Definición</x:v>
      </x:c>
      <x:c r="B30" s="15" t="str">
        <x:v>Criterio</x:v>
      </x:c>
      <x:c r="C30" s="2"/>
      <x:c r="D30" s="2"/>
    </x:row>
    <x:row r="31" ht="40" customHeight="1">
      <x:c r="A31" s="16" t="str">
        <x:v>Contrato</x:v>
      </x:c>
      <x:c r="B31" s="16" t="str">
        <x:v>La fecha de firma no es ingreso cobrado ni mensualidad facturada.</x:v>
      </x:c>
      <x:c r="C31" s="2"/>
      <x:c r="D31" s="2"/>
    </x:row>
    <x:row r="32" ht="40" customHeight="1">
      <x:c r="A32" s="16" t="str">
        <x:v>Primera mensualidad</x:v>
      </x:c>
      <x:c r="B32" s="16" t="str">
        <x:v>Comienza después de la entrega, conforme al acuerdo comercial vigente.</x:v>
      </x:c>
      <x:c r="C32" s="2"/>
      <x:c r="D32" s="2"/>
    </x:row>
    <x:row r="33" ht="40" customHeight="1">
      <x:c r="A33" s="16" t="str">
        <x:v>Fuente</x:v>
      </x:c>
      <x:c r="B33" s="16" t="str">
        <x:v>Decisiones de Javier en esta conversación. Procedimiento sugerido del 21/10/2026.</x:v>
      </x:c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</x:sheetData>
  <x:pageMargins left="0.7" right="0.7" top="0.75" bottom="0.75" header="0.3" footer="0.3"/>
</x:worksheet>
</file>